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ábia\Desktop\Área de Trabalho\ITIBAM\"/>
    </mc:Choice>
  </mc:AlternateContent>
  <xr:revisionPtr revIDLastSave="0" documentId="13_ncr:1_{BC451810-EC7F-466A-B7F1-8FE7A8F7F476}" xr6:coauthVersionLast="47" xr6:coauthVersionMax="47" xr10:uidLastSave="{00000000-0000-0000-0000-000000000000}"/>
  <bookViews>
    <workbookView xWindow="-108" yWindow="-108" windowWidth="23256" windowHeight="12456" activeTab="6" xr2:uid="{49BF3EF8-20C1-46BC-B68A-E0149E5997DB}"/>
  </bookViews>
  <sheets>
    <sheet name="RESUMO GLOBAL" sheetId="1" r:id="rId1"/>
    <sheet name="VALOR POR ADMINISTRADORA" sheetId="2" r:id="rId2"/>
    <sheet name="CARTEIRA FERNANDA" sheetId="3" state="hidden" r:id="rId3"/>
    <sheet name="MATEUS" sheetId="6" r:id="rId4"/>
    <sheet name="CARTEIRA GABRIEL" sheetId="4" r:id="rId5"/>
    <sheet name="CARTEIRA THALIA" sheetId="5" state="hidden" r:id="rId6"/>
    <sheet name="NOVA THALIA" sheetId="7" r:id="rId7"/>
  </sheets>
  <definedNames>
    <definedName name="_xlnm._FilterDatabase" localSheetId="1" hidden="1">'VALOR POR ADMINISTRADORA'!$A$3:$H$3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8" i="7" l="1"/>
  <c r="I23" i="7" s="1"/>
  <c r="I19" i="4"/>
  <c r="I26" i="4" s="1"/>
  <c r="I8" i="6"/>
  <c r="I11" i="6" s="1"/>
  <c r="I28" i="1"/>
  <c r="I26" i="1"/>
  <c r="I10" i="1"/>
  <c r="H18" i="7"/>
  <c r="F18" i="7"/>
  <c r="E18" i="7"/>
  <c r="D18" i="7"/>
  <c r="C18" i="7"/>
  <c r="B18" i="7"/>
  <c r="G17" i="7"/>
  <c r="G16" i="7"/>
  <c r="G33" i="7"/>
  <c r="G32" i="7"/>
  <c r="G27" i="7"/>
  <c r="G26" i="7"/>
  <c r="G31" i="7"/>
  <c r="G48" i="5"/>
  <c r="G47" i="5"/>
  <c r="G46" i="5"/>
  <c r="H30" i="5"/>
  <c r="H35" i="5" s="1"/>
  <c r="H8" i="6"/>
  <c r="H10" i="6" s="1"/>
  <c r="H19" i="4"/>
  <c r="B19" i="4"/>
  <c r="C19" i="4"/>
  <c r="D19" i="4"/>
  <c r="E19" i="4"/>
  <c r="F19" i="4"/>
  <c r="G19" i="4"/>
  <c r="G8" i="6"/>
  <c r="F8" i="6"/>
  <c r="E8" i="6"/>
  <c r="D8" i="6"/>
  <c r="C8" i="6"/>
  <c r="B8" i="6"/>
  <c r="B30" i="5"/>
  <c r="C30" i="5"/>
  <c r="D30" i="5"/>
  <c r="E30" i="5"/>
  <c r="F30" i="5"/>
  <c r="G29" i="5"/>
  <c r="G23" i="5"/>
  <c r="G24" i="5"/>
  <c r="G25" i="5"/>
  <c r="G26" i="5"/>
  <c r="G27" i="5"/>
  <c r="G28" i="5"/>
  <c r="H11" i="3"/>
  <c r="H10" i="3"/>
  <c r="H9" i="3"/>
  <c r="H8" i="3"/>
  <c r="H7" i="3"/>
  <c r="H5" i="3"/>
  <c r="F26" i="1"/>
  <c r="C23" i="1"/>
  <c r="B23" i="1"/>
  <c r="F12" i="1"/>
  <c r="F11" i="1"/>
  <c r="G18" i="7" l="1"/>
  <c r="G30" i="5"/>
  <c r="H5" i="2"/>
  <c r="E26" i="1"/>
  <c r="E12" i="1"/>
  <c r="E11" i="1"/>
  <c r="B12" i="1"/>
  <c r="C12" i="1"/>
  <c r="D12" i="1"/>
  <c r="B11" i="1"/>
  <c r="C11" i="1"/>
  <c r="D11" i="1"/>
</calcChain>
</file>

<file path=xl/sharedStrings.xml><?xml version="1.0" encoding="utf-8"?>
<sst xmlns="http://schemas.openxmlformats.org/spreadsheetml/2006/main" count="304" uniqueCount="101">
  <si>
    <t>EMPRESAS</t>
  </si>
  <si>
    <t>ADMINISTRADORAS</t>
  </si>
  <si>
    <t>CONSUMIDOR FINAL</t>
  </si>
  <si>
    <t>SÍNDICOS</t>
  </si>
  <si>
    <t>VENDEDORES</t>
  </si>
  <si>
    <t>FABIA FERNANDES</t>
  </si>
  <si>
    <t>CAMILA</t>
  </si>
  <si>
    <t>FERNANDA</t>
  </si>
  <si>
    <t>RICARDO</t>
  </si>
  <si>
    <t>VENDAS TOTAIS</t>
  </si>
  <si>
    <t>EMPRESAS RICARDO</t>
  </si>
  <si>
    <t>TIPOS DE CLIENTE</t>
  </si>
  <si>
    <t>ADCON-ES</t>
  </si>
  <si>
    <t>GRUPO MARCO</t>
  </si>
  <si>
    <t>AVANTE</t>
  </si>
  <si>
    <t xml:space="preserve">BC </t>
  </si>
  <si>
    <t>CECAD</t>
  </si>
  <si>
    <t>CONDO27</t>
  </si>
  <si>
    <t>CONDOMINIAR</t>
  </si>
  <si>
    <t>CONDOMINIO SERVICE</t>
  </si>
  <si>
    <t>CONDONAL</t>
  </si>
  <si>
    <t>CONFIANÇA</t>
  </si>
  <si>
    <t>CONTACEL</t>
  </si>
  <si>
    <t>CONTACTUAL</t>
  </si>
  <si>
    <t>CONVIVA</t>
  </si>
  <si>
    <t>EXEMPLAR</t>
  </si>
  <si>
    <t>AC</t>
  </si>
  <si>
    <t>PREMIER</t>
  </si>
  <si>
    <t>SETIMA</t>
  </si>
  <si>
    <t>GRUPO ATTA</t>
  </si>
  <si>
    <t>IDEAL</t>
  </si>
  <si>
    <t>INOVA</t>
  </si>
  <si>
    <t>JBR</t>
  </si>
  <si>
    <t>LK</t>
  </si>
  <si>
    <t>MM</t>
  </si>
  <si>
    <t>MGM</t>
  </si>
  <si>
    <t>NOSTRA GESTÃO</t>
  </si>
  <si>
    <t>NRP</t>
  </si>
  <si>
    <t>PITER</t>
  </si>
  <si>
    <t>REALIZA</t>
  </si>
  <si>
    <t>RGA</t>
  </si>
  <si>
    <t>AGOSTO</t>
  </si>
  <si>
    <t>JULHO</t>
  </si>
  <si>
    <t>VILLA GESTAO</t>
  </si>
  <si>
    <t>GCR</t>
  </si>
  <si>
    <t>IMPERIAL</t>
  </si>
  <si>
    <t>LF CONTROL</t>
  </si>
  <si>
    <t>PRATICA</t>
  </si>
  <si>
    <t>SIGMA</t>
  </si>
  <si>
    <t>JUNHO</t>
  </si>
  <si>
    <t>MÊS 08</t>
  </si>
  <si>
    <t>MÊS 07</t>
  </si>
  <si>
    <t>ALINE</t>
  </si>
  <si>
    <t>MÊS 06</t>
  </si>
  <si>
    <t>ADM+SINDICOS</t>
  </si>
  <si>
    <t>EMPRESAS + CONSUMIDOR FINAL</t>
  </si>
  <si>
    <t>MÉDIA</t>
  </si>
  <si>
    <t>MÊS 09</t>
  </si>
  <si>
    <t>SETEMBRO</t>
  </si>
  <si>
    <t>HERINGER</t>
  </si>
  <si>
    <t>SÓLIDA</t>
  </si>
  <si>
    <t>MES 10</t>
  </si>
  <si>
    <t>MÊS 10</t>
  </si>
  <si>
    <t>GABRIEL</t>
  </si>
  <si>
    <t>OUTUBRO</t>
  </si>
  <si>
    <t>THALIA</t>
  </si>
  <si>
    <t>NOVEMBRO</t>
  </si>
  <si>
    <t>MÊS 11</t>
  </si>
  <si>
    <t xml:space="preserve">RESULTADO FINAL </t>
  </si>
  <si>
    <t>TOTAL</t>
  </si>
  <si>
    <t>POTENCIAL</t>
  </si>
  <si>
    <t>MÊS 12</t>
  </si>
  <si>
    <t>MATEUS</t>
  </si>
  <si>
    <t>DEZEMBRO</t>
  </si>
  <si>
    <t>INATIVOU</t>
  </si>
  <si>
    <t>CONSERVARE</t>
  </si>
  <si>
    <t>-</t>
  </si>
  <si>
    <t>SINDICO</t>
  </si>
  <si>
    <t>MATEUS ATENDEU A RGA</t>
  </si>
  <si>
    <t>ALLIANCE</t>
  </si>
  <si>
    <t>JANEIRO</t>
  </si>
  <si>
    <t>MÊS 01/26</t>
  </si>
  <si>
    <t>VENDAS SEM NOME</t>
  </si>
  <si>
    <t>ALEATORIOS</t>
  </si>
  <si>
    <t>SÓLIDA, MGM E PITER</t>
  </si>
  <si>
    <t>PITER CONTABILIDADE</t>
  </si>
  <si>
    <t>OS 3 VENDEDORES ATENDERAM</t>
  </si>
  <si>
    <t>THALIA TÁ ATENDENDO</t>
  </si>
  <si>
    <t>SUBTOTAL ADM</t>
  </si>
  <si>
    <t>THALIA VENDEU PARA O GRUPO MARCO - CONDOMINIO MONTE SERNIO</t>
  </si>
  <si>
    <t>IMPACTO</t>
  </si>
  <si>
    <t>TOTAL ADMINISTRADORAS</t>
  </si>
  <si>
    <t>COMPROU EM DEZEMBRO E NÃO COMPROU EM JANEIRO</t>
  </si>
  <si>
    <t>ATENDEU EM JANEIRO</t>
  </si>
  <si>
    <t>CARTEIRA DE THALIA</t>
  </si>
  <si>
    <t>CARTEIRA DE MATEUS</t>
  </si>
  <si>
    <t>CARTEIRA GABRIEL</t>
  </si>
  <si>
    <t>CONSOLIDA</t>
  </si>
  <si>
    <t>CARTEIRA MATEUS</t>
  </si>
  <si>
    <t>NOVA ADM DA CARTEIRA</t>
  </si>
  <si>
    <t>NOVAS ADM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</si>
</sst>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98">
    <xf numFmtId="0" fontId="0" fillId="0" borderId="0" xfId="0"/>
    <xf numFmtId="44" fontId="0" fillId="0" borderId="0" xfId="1" applyFont="1"/>
    <xf numFmtId="0" fontId="3" fillId="0" borderId="1" xfId="0" applyFont="1" applyBorder="1"/>
    <xf numFmtId="0" fontId="3" fillId="0" borderId="5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44" fontId="2" fillId="0" borderId="0" xfId="1" applyFont="1"/>
    <xf numFmtId="44" fontId="0" fillId="0" borderId="0" xfId="0" applyNumberFormat="1"/>
    <xf numFmtId="44" fontId="0" fillId="0" borderId="3" xfId="1" applyFont="1" applyBorder="1"/>
    <xf numFmtId="44" fontId="3" fillId="0" borderId="3" xfId="1" applyFont="1" applyBorder="1"/>
    <xf numFmtId="44" fontId="3" fillId="0" borderId="4" xfId="1" applyFont="1" applyBorder="1"/>
    <xf numFmtId="0" fontId="3" fillId="5" borderId="5" xfId="0" applyFont="1" applyFill="1" applyBorder="1" applyAlignment="1">
      <alignment horizontal="center"/>
    </xf>
    <xf numFmtId="44" fontId="0" fillId="0" borderId="0" xfId="1" applyFont="1" applyBorder="1"/>
    <xf numFmtId="44" fontId="0" fillId="0" borderId="7" xfId="1" applyFont="1" applyBorder="1"/>
    <xf numFmtId="0" fontId="0" fillId="0" borderId="8" xfId="0" applyBorder="1"/>
    <xf numFmtId="0" fontId="0" fillId="4" borderId="8" xfId="0" applyFill="1" applyBorder="1"/>
    <xf numFmtId="0" fontId="0" fillId="0" borderId="9" xfId="0" applyBorder="1"/>
    <xf numFmtId="0" fontId="3" fillId="2" borderId="6" xfId="0" applyFont="1" applyFill="1" applyBorder="1" applyAlignment="1">
      <alignment horizontal="center"/>
    </xf>
    <xf numFmtId="44" fontId="0" fillId="0" borderId="10" xfId="1" applyFont="1" applyBorder="1"/>
    <xf numFmtId="44" fontId="0" fillId="0" borderId="11" xfId="1" applyFont="1" applyBorder="1"/>
    <xf numFmtId="44" fontId="3" fillId="0" borderId="12" xfId="1" applyFont="1" applyBorder="1"/>
    <xf numFmtId="44" fontId="0" fillId="0" borderId="12" xfId="1" applyFont="1" applyBorder="1"/>
    <xf numFmtId="44" fontId="3" fillId="0" borderId="13" xfId="1" applyFont="1" applyBorder="1"/>
    <xf numFmtId="0" fontId="3" fillId="3" borderId="6" xfId="0" applyFont="1" applyFill="1" applyBorder="1" applyAlignment="1">
      <alignment horizontal="center"/>
    </xf>
    <xf numFmtId="0" fontId="0" fillId="0" borderId="14" xfId="0" applyBorder="1"/>
    <xf numFmtId="0" fontId="3" fillId="0" borderId="15" xfId="0" applyFont="1" applyBorder="1"/>
    <xf numFmtId="0" fontId="0" fillId="0" borderId="15" xfId="0" applyBorder="1"/>
    <xf numFmtId="0" fontId="3" fillId="0" borderId="16" xfId="0" applyFont="1" applyBorder="1"/>
    <xf numFmtId="44" fontId="0" fillId="0" borderId="0" xfId="1" applyFont="1" applyFill="1" applyBorder="1"/>
    <xf numFmtId="44" fontId="0" fillId="6" borderId="0" xfId="0" applyNumberFormat="1" applyFill="1"/>
    <xf numFmtId="0" fontId="4" fillId="0" borderId="0" xfId="0" applyFont="1"/>
    <xf numFmtId="44" fontId="0" fillId="6" borderId="0" xfId="1" applyFont="1" applyFill="1"/>
    <xf numFmtId="44" fontId="0" fillId="0" borderId="0" xfId="1" applyFont="1" applyFill="1"/>
    <xf numFmtId="0" fontId="3" fillId="5" borderId="6" xfId="0" applyFont="1" applyFill="1" applyBorder="1" applyAlignment="1">
      <alignment horizontal="center"/>
    </xf>
    <xf numFmtId="44" fontId="0" fillId="0" borderId="8" xfId="1" applyFont="1" applyBorder="1"/>
    <xf numFmtId="44" fontId="0" fillId="6" borderId="8" xfId="1" applyFont="1" applyFill="1" applyBorder="1"/>
    <xf numFmtId="44" fontId="0" fillId="4" borderId="8" xfId="1" applyFont="1" applyFill="1" applyBorder="1"/>
    <xf numFmtId="44" fontId="0" fillId="6" borderId="9" xfId="1" applyFont="1" applyFill="1" applyBorder="1"/>
    <xf numFmtId="44" fontId="0" fillId="0" borderId="9" xfId="1" applyFont="1" applyBorder="1"/>
    <xf numFmtId="44" fontId="3" fillId="0" borderId="9" xfId="1" applyFont="1" applyBorder="1"/>
    <xf numFmtId="44" fontId="0" fillId="0" borderId="17" xfId="1" applyFont="1" applyBorder="1"/>
    <xf numFmtId="44" fontId="3" fillId="0" borderId="18" xfId="1" applyFont="1" applyBorder="1"/>
    <xf numFmtId="44" fontId="0" fillId="0" borderId="18" xfId="1" applyFont="1" applyBorder="1"/>
    <xf numFmtId="44" fontId="3" fillId="0" borderId="19" xfId="0" applyNumberFormat="1" applyFont="1" applyBorder="1"/>
    <xf numFmtId="44" fontId="0" fillId="0" borderId="15" xfId="1" applyFont="1" applyBorder="1"/>
    <xf numFmtId="44" fontId="0" fillId="0" borderId="14" xfId="1" applyFont="1" applyBorder="1"/>
    <xf numFmtId="0" fontId="3" fillId="0" borderId="6" xfId="0" applyFont="1" applyBorder="1" applyAlignment="1">
      <alignment horizontal="center"/>
    </xf>
    <xf numFmtId="44" fontId="2" fillId="0" borderId="0" xfId="1" applyFont="1" applyFill="1"/>
    <xf numFmtId="44" fontId="5" fillId="0" borderId="15" xfId="1" applyFont="1" applyFill="1" applyBorder="1"/>
    <xf numFmtId="0" fontId="3" fillId="7" borderId="0" xfId="0" applyFont="1" applyFill="1" applyAlignment="1">
      <alignment horizontal="center"/>
    </xf>
    <xf numFmtId="0" fontId="4" fillId="8" borderId="0" xfId="0" applyFont="1" applyFill="1"/>
    <xf numFmtId="0" fontId="4" fillId="5" borderId="0" xfId="0" applyFont="1" applyFill="1"/>
    <xf numFmtId="0" fontId="3" fillId="0" borderId="0" xfId="0" applyFont="1" applyAlignment="1">
      <alignment horizontal="center"/>
    </xf>
    <xf numFmtId="44" fontId="0" fillId="7" borderId="0" xfId="0" applyNumberFormat="1" applyFill="1"/>
    <xf numFmtId="44" fontId="3" fillId="9" borderId="9" xfId="1" applyFont="1" applyFill="1" applyBorder="1"/>
    <xf numFmtId="44" fontId="4" fillId="0" borderId="0" xfId="1" applyFont="1"/>
    <xf numFmtId="44" fontId="4" fillId="0" borderId="0" xfId="1" applyFont="1" applyFill="1"/>
    <xf numFmtId="44" fontId="0" fillId="10" borderId="0" xfId="1" applyFont="1" applyFill="1"/>
    <xf numFmtId="44" fontId="4" fillId="10" borderId="0" xfId="1" applyFont="1" applyFill="1"/>
    <xf numFmtId="44" fontId="4" fillId="6" borderId="0" xfId="1" applyFont="1" applyFill="1"/>
    <xf numFmtId="0" fontId="4" fillId="11" borderId="0" xfId="0" applyFont="1" applyFill="1"/>
    <xf numFmtId="44" fontId="4" fillId="0" borderId="0" xfId="0" applyNumberFormat="1" applyFont="1"/>
    <xf numFmtId="44" fontId="0" fillId="0" borderId="20" xfId="1" applyFont="1" applyBorder="1"/>
    <xf numFmtId="44" fontId="4" fillId="12" borderId="0" xfId="1" applyFont="1" applyFill="1"/>
    <xf numFmtId="44" fontId="0" fillId="4" borderId="0" xfId="0" applyNumberFormat="1" applyFill="1"/>
    <xf numFmtId="44" fontId="4" fillId="0" borderId="0" xfId="1" applyFont="1" applyBorder="1"/>
    <xf numFmtId="44" fontId="0" fillId="10" borderId="0" xfId="1" applyFont="1" applyFill="1" applyBorder="1"/>
    <xf numFmtId="44" fontId="4" fillId="10" borderId="0" xfId="1" applyFont="1" applyFill="1" applyBorder="1"/>
    <xf numFmtId="0" fontId="3" fillId="0" borderId="1" xfId="0" applyFont="1" applyBorder="1" applyAlignment="1">
      <alignment horizontal="center"/>
    </xf>
    <xf numFmtId="0" fontId="3" fillId="7" borderId="6" xfId="0" applyFont="1" applyFill="1" applyBorder="1" applyAlignment="1">
      <alignment horizontal="center"/>
    </xf>
    <xf numFmtId="44" fontId="0" fillId="13" borderId="0" xfId="1" applyFont="1" applyFill="1"/>
    <xf numFmtId="44" fontId="0" fillId="13" borderId="0" xfId="1" applyFont="1" applyFill="1" applyBorder="1"/>
    <xf numFmtId="44" fontId="0" fillId="13" borderId="0" xfId="0" applyNumberFormat="1" applyFill="1"/>
    <xf numFmtId="44" fontId="0" fillId="0" borderId="20" xfId="0" applyNumberFormat="1" applyBorder="1" applyAlignment="1">
      <alignment horizontal="center"/>
    </xf>
    <xf numFmtId="44" fontId="0" fillId="4" borderId="9" xfId="0" applyNumberFormat="1" applyFill="1" applyBorder="1" applyAlignment="1">
      <alignment horizontal="center"/>
    </xf>
    <xf numFmtId="44" fontId="0" fillId="11" borderId="0" xfId="1" applyFont="1" applyFill="1" applyBorder="1"/>
    <xf numFmtId="0" fontId="3" fillId="11" borderId="0" xfId="0" applyFont="1" applyFill="1" applyAlignment="1">
      <alignment horizontal="center"/>
    </xf>
    <xf numFmtId="44" fontId="3" fillId="0" borderId="9" xfId="1" applyFont="1" applyFill="1" applyBorder="1"/>
    <xf numFmtId="4" fontId="0" fillId="0" borderId="0" xfId="0" applyNumberFormat="1"/>
    <xf numFmtId="44" fontId="0" fillId="0" borderId="8" xfId="1" applyFont="1" applyFill="1" applyBorder="1"/>
    <xf numFmtId="44" fontId="0" fillId="0" borderId="9" xfId="1" applyFont="1" applyFill="1" applyBorder="1"/>
    <xf numFmtId="44" fontId="0" fillId="14" borderId="0" xfId="0" applyNumberFormat="1" applyFill="1"/>
    <xf numFmtId="0" fontId="3" fillId="0" borderId="0" xfId="0" applyFont="1" applyFill="1" applyBorder="1" applyAlignment="1">
      <alignment horizontal="center"/>
    </xf>
    <xf numFmtId="0" fontId="3" fillId="5" borderId="8" xfId="0" applyFont="1" applyFill="1" applyBorder="1" applyAlignment="1">
      <alignment horizontal="center"/>
    </xf>
    <xf numFmtId="0" fontId="3" fillId="0" borderId="21" xfId="0" applyFont="1" applyFill="1" applyBorder="1" applyAlignment="1">
      <alignment horizontal="center"/>
    </xf>
    <xf numFmtId="0" fontId="0" fillId="0" borderId="0" xfId="0" applyFill="1"/>
    <xf numFmtId="44" fontId="0" fillId="0" borderId="0" xfId="0" applyNumberFormat="1" applyFill="1"/>
    <xf numFmtId="0" fontId="3" fillId="0" borderId="6" xfId="0" applyFont="1" applyFill="1" applyBorder="1" applyAlignment="1">
      <alignment horizontal="center"/>
    </xf>
    <xf numFmtId="0" fontId="2" fillId="0" borderId="0" xfId="0" applyFont="1"/>
    <xf numFmtId="0" fontId="0" fillId="8" borderId="0" xfId="0" applyFill="1"/>
    <xf numFmtId="0" fontId="5" fillId="0" borderId="0" xfId="0" applyFont="1"/>
    <xf numFmtId="44" fontId="5" fillId="0" borderId="0" xfId="1" applyFont="1"/>
    <xf numFmtId="0" fontId="5" fillId="0" borderId="0" xfId="0" applyFont="1" applyFill="1"/>
    <xf numFmtId="44" fontId="2" fillId="0" borderId="0" xfId="0" applyNumberFormat="1" applyFont="1"/>
    <xf numFmtId="44" fontId="0" fillId="4" borderId="0" xfId="1" applyFont="1" applyFill="1"/>
    <xf numFmtId="0" fontId="2" fillId="0" borderId="0" xfId="0" applyFont="1" applyFill="1"/>
    <xf numFmtId="0" fontId="4" fillId="14" borderId="0" xfId="0" applyFont="1" applyFill="1"/>
    <xf numFmtId="44" fontId="0" fillId="9" borderId="0" xfId="0" applyNumberFormat="1" applyFill="1"/>
    <xf numFmtId="44" fontId="4" fillId="9" borderId="0" xfId="1" applyFont="1" applyFill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colors>
    <mruColors>
      <color rgb="FFCCFF66"/>
      <color rgb="FFFF6600"/>
      <color rgb="FFFF99FF"/>
      <color rgb="FF00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F5058-E1D9-44A8-86ED-AA27C8BC5932}">
  <dimension ref="A2:J28"/>
  <sheetViews>
    <sheetView topLeftCell="A11" workbookViewId="0">
      <selection activeCell="I23" sqref="I23"/>
    </sheetView>
  </sheetViews>
  <sheetFormatPr defaultRowHeight="14.4" x14ac:dyDescent="0.3"/>
  <cols>
    <col min="1" max="1" width="31.33203125" customWidth="1"/>
    <col min="2" max="2" width="17.5546875" customWidth="1"/>
    <col min="3" max="3" width="16.77734375" customWidth="1"/>
    <col min="4" max="4" width="14.21875" customWidth="1"/>
    <col min="5" max="5" width="17.5546875" customWidth="1"/>
    <col min="6" max="6" width="13.88671875" customWidth="1"/>
    <col min="7" max="8" width="14" bestFit="1" customWidth="1"/>
    <col min="9" max="9" width="15.5546875" customWidth="1"/>
  </cols>
  <sheetData>
    <row r="2" spans="1:9" x14ac:dyDescent="0.3">
      <c r="A2" t="s">
        <v>68</v>
      </c>
    </row>
    <row r="3" spans="1:9" ht="15" thickBot="1" x14ac:dyDescent="0.35"/>
    <row r="4" spans="1:9" ht="15" thickBot="1" x14ac:dyDescent="0.35">
      <c r="A4" s="16" t="s">
        <v>11</v>
      </c>
      <c r="B4" s="10" t="s">
        <v>53</v>
      </c>
      <c r="C4" s="32" t="s">
        <v>51</v>
      </c>
      <c r="D4" s="32" t="s">
        <v>50</v>
      </c>
      <c r="E4" s="32" t="s">
        <v>57</v>
      </c>
      <c r="F4" s="32" t="s">
        <v>61</v>
      </c>
      <c r="G4" s="32" t="s">
        <v>67</v>
      </c>
      <c r="H4" s="32" t="s">
        <v>71</v>
      </c>
      <c r="I4" s="82" t="s">
        <v>81</v>
      </c>
    </row>
    <row r="5" spans="1:9" x14ac:dyDescent="0.3">
      <c r="A5" s="13" t="s">
        <v>1</v>
      </c>
      <c r="B5" s="11">
        <v>140229.74</v>
      </c>
      <c r="C5" s="34">
        <v>147455</v>
      </c>
      <c r="D5" s="33">
        <v>140998.98000000001</v>
      </c>
      <c r="E5" s="33">
        <v>117223.43</v>
      </c>
      <c r="F5" s="33">
        <v>148235.45000000001</v>
      </c>
      <c r="G5" s="61">
        <v>127319</v>
      </c>
      <c r="H5" s="61">
        <v>102990.8</v>
      </c>
      <c r="I5" s="78">
        <v>138924</v>
      </c>
    </row>
    <row r="6" spans="1:9" x14ac:dyDescent="0.3">
      <c r="A6" s="13" t="s">
        <v>0</v>
      </c>
      <c r="B6" s="11">
        <v>26870.37</v>
      </c>
      <c r="C6" s="33">
        <v>19257.37</v>
      </c>
      <c r="D6" s="34">
        <v>34212.92</v>
      </c>
      <c r="E6" s="33">
        <v>25930.81</v>
      </c>
      <c r="F6" s="33">
        <v>24156.65</v>
      </c>
      <c r="G6" s="33">
        <v>28705</v>
      </c>
      <c r="H6" s="33">
        <v>23518.89</v>
      </c>
      <c r="I6" s="78">
        <v>25494</v>
      </c>
    </row>
    <row r="7" spans="1:9" hidden="1" x14ac:dyDescent="0.3">
      <c r="A7" s="14" t="s">
        <v>10</v>
      </c>
      <c r="C7" s="33"/>
      <c r="D7" s="35">
        <v>1566.06</v>
      </c>
      <c r="E7" s="33"/>
      <c r="F7" s="33"/>
      <c r="G7" s="33"/>
      <c r="H7" s="33"/>
    </row>
    <row r="8" spans="1:9" x14ac:dyDescent="0.3">
      <c r="A8" s="13" t="s">
        <v>3</v>
      </c>
      <c r="B8" s="27">
        <v>25151.19</v>
      </c>
      <c r="C8" s="34">
        <v>25185.32</v>
      </c>
      <c r="D8" s="33">
        <v>19114.400000000001</v>
      </c>
      <c r="E8" s="34">
        <v>30935.77</v>
      </c>
      <c r="F8" s="33">
        <v>27845.82</v>
      </c>
      <c r="G8" s="33">
        <v>32792</v>
      </c>
      <c r="H8" s="33">
        <v>31642.68</v>
      </c>
      <c r="I8" s="78">
        <v>35235</v>
      </c>
    </row>
    <row r="9" spans="1:9" ht="15" thickBot="1" x14ac:dyDescent="0.35">
      <c r="A9" s="15" t="s">
        <v>2</v>
      </c>
      <c r="B9" s="12">
        <v>1520.83</v>
      </c>
      <c r="C9" s="37">
        <v>1037.56</v>
      </c>
      <c r="D9" s="36">
        <v>2005.95</v>
      </c>
      <c r="E9" s="37">
        <v>1585</v>
      </c>
      <c r="F9" s="37">
        <v>1687.37</v>
      </c>
      <c r="G9" s="37">
        <v>1640</v>
      </c>
      <c r="H9" s="37">
        <v>2148.1999999999998</v>
      </c>
      <c r="I9" s="78">
        <v>455.67</v>
      </c>
    </row>
    <row r="10" spans="1:9" x14ac:dyDescent="0.3">
      <c r="F10" s="51"/>
      <c r="H10" s="6"/>
      <c r="I10" s="6">
        <f>SUM(I5:I9)</f>
        <v>200108.67</v>
      </c>
    </row>
    <row r="11" spans="1:9" x14ac:dyDescent="0.3">
      <c r="A11" t="s">
        <v>54</v>
      </c>
      <c r="B11" s="6">
        <f>SUM(B5+B8)</f>
        <v>165380.93</v>
      </c>
      <c r="C11" s="28">
        <f t="shared" ref="C11:C12" si="0">SUM(C5+C8)</f>
        <v>172640.32</v>
      </c>
      <c r="D11" s="6">
        <f t="shared" ref="D11:F12" si="1">SUM(D5+D8)</f>
        <v>160113.38</v>
      </c>
      <c r="E11" s="6">
        <f t="shared" si="1"/>
        <v>148159.19999999998</v>
      </c>
      <c r="F11" s="52">
        <f t="shared" si="1"/>
        <v>176081.27000000002</v>
      </c>
    </row>
    <row r="12" spans="1:9" x14ac:dyDescent="0.3">
      <c r="A12" t="s">
        <v>55</v>
      </c>
      <c r="B12" s="6">
        <f>SUM(B6+B9)</f>
        <v>28391.199999999997</v>
      </c>
      <c r="C12" s="6">
        <f t="shared" si="0"/>
        <v>20294.93</v>
      </c>
      <c r="D12" s="28">
        <f t="shared" si="1"/>
        <v>36218.869999999995</v>
      </c>
      <c r="E12" s="6">
        <f t="shared" si="1"/>
        <v>27515.81</v>
      </c>
      <c r="F12" s="52">
        <f t="shared" si="1"/>
        <v>25844.02</v>
      </c>
    </row>
    <row r="16" spans="1:9" ht="15" thickBot="1" x14ac:dyDescent="0.35"/>
    <row r="17" spans="1:10" ht="15" thickBot="1" x14ac:dyDescent="0.35">
      <c r="A17" s="22" t="s">
        <v>4</v>
      </c>
      <c r="B17" s="10" t="s">
        <v>53</v>
      </c>
      <c r="C17" s="10" t="s">
        <v>51</v>
      </c>
      <c r="D17" s="10" t="s">
        <v>50</v>
      </c>
      <c r="E17" s="32" t="s">
        <v>57</v>
      </c>
      <c r="F17" s="32" t="s">
        <v>62</v>
      </c>
      <c r="G17" s="32" t="s">
        <v>67</v>
      </c>
      <c r="H17" s="32" t="s">
        <v>71</v>
      </c>
      <c r="I17" s="32" t="s">
        <v>81</v>
      </c>
    </row>
    <row r="18" spans="1:10" x14ac:dyDescent="0.3">
      <c r="A18" s="23" t="s">
        <v>5</v>
      </c>
      <c r="B18" s="18">
        <v>20577.98</v>
      </c>
      <c r="C18" s="17">
        <v>13146.17</v>
      </c>
      <c r="D18" s="39">
        <v>36391.99</v>
      </c>
      <c r="E18" s="44">
        <v>15230.78</v>
      </c>
      <c r="F18" s="33">
        <v>31291.75</v>
      </c>
      <c r="G18" s="61">
        <v>25976</v>
      </c>
      <c r="H18" s="61">
        <v>5892.27</v>
      </c>
      <c r="I18" s="78">
        <v>84</v>
      </c>
    </row>
    <row r="19" spans="1:10" x14ac:dyDescent="0.3">
      <c r="A19" s="23" t="s">
        <v>65</v>
      </c>
      <c r="B19" s="18"/>
      <c r="C19" s="17"/>
      <c r="D19" s="39"/>
      <c r="E19" s="44"/>
      <c r="F19" s="33"/>
      <c r="G19" s="33"/>
      <c r="H19" s="33">
        <v>38563.870000000003</v>
      </c>
      <c r="I19" s="33">
        <v>53576</v>
      </c>
    </row>
    <row r="20" spans="1:10" hidden="1" x14ac:dyDescent="0.3">
      <c r="A20" s="24" t="s">
        <v>7</v>
      </c>
      <c r="B20" s="19">
        <v>95593</v>
      </c>
      <c r="C20" s="8">
        <v>178517</v>
      </c>
      <c r="D20" s="40">
        <v>153166.41</v>
      </c>
      <c r="E20" s="47">
        <v>133795.87</v>
      </c>
      <c r="F20" s="33">
        <v>129404</v>
      </c>
      <c r="G20" s="33">
        <v>100089</v>
      </c>
      <c r="H20" s="33">
        <v>0</v>
      </c>
      <c r="I20" s="33"/>
    </row>
    <row r="21" spans="1:10" hidden="1" x14ac:dyDescent="0.3">
      <c r="A21" s="25" t="s">
        <v>52</v>
      </c>
      <c r="B21" s="20">
        <v>68041.490000000005</v>
      </c>
      <c r="C21" s="7">
        <v>0</v>
      </c>
      <c r="D21" s="41">
        <v>0</v>
      </c>
      <c r="E21" s="43">
        <v>0</v>
      </c>
      <c r="F21" s="33">
        <v>0</v>
      </c>
      <c r="G21" s="33">
        <v>0</v>
      </c>
      <c r="H21" s="33"/>
      <c r="I21" s="33"/>
    </row>
    <row r="22" spans="1:10" x14ac:dyDescent="0.3">
      <c r="A22" s="25" t="s">
        <v>72</v>
      </c>
      <c r="B22" s="20"/>
      <c r="C22" s="7"/>
      <c r="D22" s="41"/>
      <c r="E22" s="43"/>
      <c r="F22" s="33"/>
      <c r="G22" s="33"/>
      <c r="H22" s="33">
        <v>46510.9</v>
      </c>
      <c r="I22" s="33">
        <v>69437</v>
      </c>
    </row>
    <row r="23" spans="1:10" x14ac:dyDescent="0.3">
      <c r="A23" s="25" t="s">
        <v>63</v>
      </c>
      <c r="B23" s="20">
        <f>-C23</f>
        <v>0</v>
      </c>
      <c r="C23" s="7">
        <f>-C24</f>
        <v>0</v>
      </c>
      <c r="D23" s="41">
        <v>0</v>
      </c>
      <c r="E23" s="43">
        <v>0</v>
      </c>
      <c r="F23" s="33">
        <v>37653.25</v>
      </c>
      <c r="G23" s="33">
        <v>51409</v>
      </c>
      <c r="H23" s="33">
        <v>65412.5</v>
      </c>
      <c r="I23" s="33">
        <v>76701</v>
      </c>
    </row>
    <row r="24" spans="1:10" ht="15" hidden="1" thickBot="1" x14ac:dyDescent="0.35">
      <c r="A24" s="25" t="s">
        <v>6</v>
      </c>
      <c r="B24" s="20">
        <v>0</v>
      </c>
      <c r="C24" s="7">
        <v>0</v>
      </c>
      <c r="D24" s="41">
        <v>5207.79</v>
      </c>
      <c r="E24" s="43">
        <v>24625.79</v>
      </c>
      <c r="F24" s="33">
        <v>3576.1</v>
      </c>
      <c r="G24" s="33">
        <v>0</v>
      </c>
      <c r="H24" s="37"/>
      <c r="I24" s="33"/>
    </row>
    <row r="25" spans="1:10" hidden="1" x14ac:dyDescent="0.3">
      <c r="A25" s="25" t="s">
        <v>8</v>
      </c>
      <c r="B25" s="20">
        <v>9559.5400000000009</v>
      </c>
      <c r="C25" s="7">
        <v>2999.35</v>
      </c>
      <c r="D25" s="41">
        <v>1566.06</v>
      </c>
      <c r="E25" s="43">
        <v>1555.53</v>
      </c>
      <c r="F25" s="33">
        <v>0</v>
      </c>
      <c r="G25" s="33">
        <v>0</v>
      </c>
      <c r="H25" s="33"/>
      <c r="I25" s="33"/>
    </row>
    <row r="26" spans="1:10" ht="15" thickBot="1" x14ac:dyDescent="0.35">
      <c r="A26" s="26" t="s">
        <v>9</v>
      </c>
      <c r="B26" s="21">
        <v>193772</v>
      </c>
      <c r="C26" s="9">
        <v>194654</v>
      </c>
      <c r="D26" s="42">
        <v>196332.25</v>
      </c>
      <c r="E26" s="38">
        <f>SUM(E18:E25)</f>
        <v>175207.97</v>
      </c>
      <c r="F26" s="53">
        <f>SUM(F18:F25)</f>
        <v>201925.1</v>
      </c>
      <c r="G26" s="37">
        <v>183660</v>
      </c>
      <c r="H26" s="76">
        <v>160300.57</v>
      </c>
      <c r="I26" s="37">
        <f>SUM(I18:I25)</f>
        <v>199798</v>
      </c>
    </row>
    <row r="27" spans="1:10" x14ac:dyDescent="0.3">
      <c r="I27">
        <v>494.58</v>
      </c>
      <c r="J27" t="s">
        <v>82</v>
      </c>
    </row>
    <row r="28" spans="1:10" x14ac:dyDescent="0.3">
      <c r="H28" t="s">
        <v>69</v>
      </c>
      <c r="I28" s="6">
        <f>SUM(I26:I27)</f>
        <v>200292.58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3ACA0-F603-4126-9A65-F144F0C8015E}">
  <dimension ref="A2:I55"/>
  <sheetViews>
    <sheetView topLeftCell="A35" workbookViewId="0">
      <selection activeCell="A54" sqref="A54"/>
    </sheetView>
  </sheetViews>
  <sheetFormatPr defaultRowHeight="14.4" x14ac:dyDescent="0.3"/>
  <cols>
    <col min="1" max="1" width="21.5546875" customWidth="1"/>
    <col min="2" max="2" width="12.88671875" bestFit="1" customWidth="1"/>
    <col min="3" max="3" width="13.77734375" customWidth="1"/>
    <col min="4" max="4" width="15.88671875" customWidth="1"/>
    <col min="5" max="7" width="17" customWidth="1"/>
    <col min="8" max="8" width="14.77734375" customWidth="1"/>
    <col min="9" max="9" width="14.6640625" customWidth="1"/>
  </cols>
  <sheetData>
    <row r="2" spans="1:9" ht="15" thickBot="1" x14ac:dyDescent="0.35"/>
    <row r="3" spans="1:9" ht="15" thickBot="1" x14ac:dyDescent="0.35">
      <c r="A3" s="2" t="s">
        <v>1</v>
      </c>
      <c r="B3" s="3" t="s">
        <v>49</v>
      </c>
      <c r="C3" s="4" t="s">
        <v>42</v>
      </c>
      <c r="D3" s="4" t="s">
        <v>41</v>
      </c>
      <c r="E3" s="45" t="s">
        <v>58</v>
      </c>
      <c r="F3" s="45" t="s">
        <v>64</v>
      </c>
      <c r="G3" s="51" t="s">
        <v>66</v>
      </c>
      <c r="H3" s="48" t="s">
        <v>73</v>
      </c>
      <c r="I3" s="81" t="s">
        <v>80</v>
      </c>
    </row>
    <row r="4" spans="1:9" x14ac:dyDescent="0.3">
      <c r="A4" s="95" t="s">
        <v>26</v>
      </c>
      <c r="B4" s="31">
        <v>1118.94</v>
      </c>
      <c r="C4" s="31">
        <v>2305.94</v>
      </c>
      <c r="D4" s="31">
        <v>1179.3499999999999</v>
      </c>
      <c r="E4" s="46">
        <v>536.33000000000004</v>
      </c>
      <c r="F4" s="46">
        <v>0</v>
      </c>
      <c r="G4" s="46">
        <v>505.02</v>
      </c>
      <c r="H4" s="6">
        <v>289.72000000000003</v>
      </c>
      <c r="I4" t="s">
        <v>74</v>
      </c>
    </row>
    <row r="5" spans="1:9" hidden="1" x14ac:dyDescent="0.3">
      <c r="A5" s="29" t="s">
        <v>12</v>
      </c>
      <c r="B5" s="31">
        <v>0</v>
      </c>
      <c r="C5" s="31">
        <v>0</v>
      </c>
      <c r="D5" s="31">
        <v>3478</v>
      </c>
      <c r="E5" s="31">
        <v>0</v>
      </c>
      <c r="F5" s="31"/>
      <c r="G5" s="31"/>
      <c r="H5" s="6">
        <f>AVERAGE(B5:E5)</f>
        <v>869.5</v>
      </c>
    </row>
    <row r="6" spans="1:9" x14ac:dyDescent="0.3">
      <c r="A6" s="29" t="s">
        <v>12</v>
      </c>
      <c r="B6" s="31">
        <v>0</v>
      </c>
      <c r="C6" s="31">
        <v>0</v>
      </c>
      <c r="D6" s="31">
        <v>3478</v>
      </c>
      <c r="E6" s="31">
        <v>0</v>
      </c>
      <c r="F6" s="31">
        <v>0</v>
      </c>
      <c r="G6" s="31">
        <v>0</v>
      </c>
      <c r="H6" s="6">
        <v>408.81</v>
      </c>
      <c r="I6" s="6">
        <v>1986</v>
      </c>
    </row>
    <row r="7" spans="1:9" x14ac:dyDescent="0.3">
      <c r="A7" s="29" t="s">
        <v>14</v>
      </c>
      <c r="B7" s="31">
        <v>3187.27</v>
      </c>
      <c r="C7" s="31">
        <v>6015.57</v>
      </c>
      <c r="D7" s="31">
        <v>3066.3</v>
      </c>
      <c r="E7" s="31">
        <v>4307</v>
      </c>
      <c r="F7" s="31">
        <v>5171.33</v>
      </c>
      <c r="G7" s="31">
        <v>762.99</v>
      </c>
      <c r="H7" s="6">
        <v>478.49</v>
      </c>
      <c r="I7" s="6">
        <v>513.22</v>
      </c>
    </row>
    <row r="8" spans="1:9" x14ac:dyDescent="0.3">
      <c r="A8" s="95" t="s">
        <v>15</v>
      </c>
      <c r="B8" s="31">
        <v>0</v>
      </c>
      <c r="C8" s="31">
        <v>823.35</v>
      </c>
      <c r="D8" s="31">
        <v>835.34</v>
      </c>
      <c r="E8" s="31">
        <v>0</v>
      </c>
      <c r="F8" s="31">
        <v>607.01</v>
      </c>
      <c r="G8" s="31">
        <v>0</v>
      </c>
      <c r="H8" s="80" t="s">
        <v>74</v>
      </c>
      <c r="I8" t="s">
        <v>74</v>
      </c>
    </row>
    <row r="9" spans="1:9" x14ac:dyDescent="0.3">
      <c r="A9" s="29" t="s">
        <v>16</v>
      </c>
      <c r="B9" s="31">
        <v>3735.45</v>
      </c>
      <c r="C9" s="31">
        <v>6061.96</v>
      </c>
      <c r="D9" s="31">
        <v>3168.58</v>
      </c>
      <c r="E9" s="31">
        <v>4059.06</v>
      </c>
      <c r="F9" s="31">
        <v>2224.75</v>
      </c>
      <c r="G9" s="31">
        <v>2639</v>
      </c>
      <c r="H9" s="6">
        <v>3484.57</v>
      </c>
      <c r="I9" s="6">
        <v>2011.5</v>
      </c>
    </row>
    <row r="10" spans="1:9" hidden="1" x14ac:dyDescent="0.3">
      <c r="A10" s="29" t="s">
        <v>18</v>
      </c>
      <c r="B10" s="31">
        <v>5116.83</v>
      </c>
      <c r="C10" s="31">
        <v>2408.36</v>
      </c>
      <c r="D10" s="31">
        <v>4963.0600000000004</v>
      </c>
      <c r="E10" s="31">
        <v>4178.67</v>
      </c>
      <c r="F10" s="31"/>
      <c r="G10" s="31"/>
      <c r="H10" s="6"/>
    </row>
    <row r="11" spans="1:9" hidden="1" x14ac:dyDescent="0.3">
      <c r="A11" s="29" t="s">
        <v>20</v>
      </c>
      <c r="B11" s="31">
        <v>33839.74</v>
      </c>
      <c r="C11" s="31">
        <v>34183.230000000003</v>
      </c>
      <c r="D11" s="31">
        <v>37023.620000000003</v>
      </c>
      <c r="E11" s="46">
        <v>26890.68</v>
      </c>
      <c r="F11" s="46"/>
      <c r="G11" s="46"/>
      <c r="H11" s="6"/>
    </row>
    <row r="12" spans="1:9" hidden="1" x14ac:dyDescent="0.3">
      <c r="A12" s="29" t="s">
        <v>21</v>
      </c>
      <c r="B12" s="31">
        <v>17098.900000000001</v>
      </c>
      <c r="C12" s="31">
        <v>11036.82</v>
      </c>
      <c r="D12" s="31">
        <v>22896.41</v>
      </c>
      <c r="E12" s="31">
        <v>19404.03</v>
      </c>
      <c r="F12" s="31"/>
      <c r="G12" s="31"/>
      <c r="H12" s="6"/>
    </row>
    <row r="13" spans="1:9" hidden="1" x14ac:dyDescent="0.3">
      <c r="A13" s="29" t="s">
        <v>22</v>
      </c>
      <c r="B13" s="31">
        <v>15164.48</v>
      </c>
      <c r="C13" s="31">
        <v>13876.13</v>
      </c>
      <c r="D13" s="31">
        <v>12366.97</v>
      </c>
      <c r="E13" s="46">
        <v>8937.61</v>
      </c>
      <c r="F13" s="46"/>
      <c r="G13" s="46"/>
      <c r="H13" s="6"/>
    </row>
    <row r="14" spans="1:9" hidden="1" x14ac:dyDescent="0.3">
      <c r="A14" s="29" t="s">
        <v>23</v>
      </c>
      <c r="B14" s="31">
        <v>3273.42</v>
      </c>
      <c r="C14" s="31">
        <v>6467.21</v>
      </c>
      <c r="D14" s="31">
        <v>3748.26</v>
      </c>
      <c r="E14" s="31">
        <v>4846.99</v>
      </c>
      <c r="F14" s="31"/>
      <c r="G14" s="31"/>
      <c r="H14" s="6"/>
    </row>
    <row r="15" spans="1:9" hidden="1" x14ac:dyDescent="0.3">
      <c r="A15" s="29" t="s">
        <v>24</v>
      </c>
      <c r="B15" s="31">
        <v>7048.23</v>
      </c>
      <c r="C15" s="31">
        <v>4448.4399999999996</v>
      </c>
      <c r="D15" s="31">
        <v>5034.79</v>
      </c>
      <c r="E15" s="46">
        <v>3002.65</v>
      </c>
      <c r="F15" s="46"/>
      <c r="G15" s="46"/>
      <c r="H15" s="6"/>
    </row>
    <row r="16" spans="1:9" x14ac:dyDescent="0.3">
      <c r="A16" s="29" t="s">
        <v>17</v>
      </c>
      <c r="B16" s="31">
        <v>3576.41</v>
      </c>
      <c r="C16" s="31">
        <v>7371.77</v>
      </c>
      <c r="D16" s="31">
        <v>4423.7299999999996</v>
      </c>
      <c r="E16" s="31">
        <v>7184.59</v>
      </c>
      <c r="F16" s="31">
        <v>4359.45</v>
      </c>
      <c r="G16" s="31">
        <v>5267.94</v>
      </c>
      <c r="H16" s="6">
        <v>6048.15</v>
      </c>
      <c r="I16" s="6">
        <v>4295</v>
      </c>
    </row>
    <row r="17" spans="1:9" hidden="1" x14ac:dyDescent="0.3">
      <c r="A17" s="29" t="s">
        <v>44</v>
      </c>
      <c r="B17" s="31">
        <v>1621.05</v>
      </c>
      <c r="C17" s="31">
        <v>5034</v>
      </c>
      <c r="D17" s="31">
        <v>0</v>
      </c>
      <c r="E17" s="31">
        <v>2252.33</v>
      </c>
      <c r="F17" s="31"/>
      <c r="G17" s="31"/>
      <c r="H17" s="6"/>
    </row>
    <row r="18" spans="1:9" hidden="1" x14ac:dyDescent="0.3">
      <c r="A18" s="29" t="s">
        <v>29</v>
      </c>
      <c r="B18" s="31">
        <v>290.45999999999998</v>
      </c>
      <c r="C18" s="31">
        <v>850.37</v>
      </c>
      <c r="D18" s="31">
        <v>3699.99</v>
      </c>
      <c r="E18" s="31">
        <v>0</v>
      </c>
      <c r="F18" s="31"/>
      <c r="G18" s="31"/>
      <c r="H18" s="6"/>
    </row>
    <row r="19" spans="1:9" hidden="1" x14ac:dyDescent="0.3">
      <c r="A19" s="29" t="s">
        <v>13</v>
      </c>
      <c r="B19" s="31">
        <v>13566.58</v>
      </c>
      <c r="C19" s="31">
        <v>13245.86</v>
      </c>
      <c r="D19" s="31">
        <v>13373.94</v>
      </c>
      <c r="E19" s="46">
        <v>6120.43</v>
      </c>
      <c r="F19" s="46"/>
      <c r="G19" s="46"/>
      <c r="H19" s="6"/>
    </row>
    <row r="20" spans="1:9" x14ac:dyDescent="0.3">
      <c r="A20" s="95" t="s">
        <v>18</v>
      </c>
      <c r="B20" s="31">
        <v>5116.83</v>
      </c>
      <c r="C20" s="31">
        <v>2408.36</v>
      </c>
      <c r="D20" s="31">
        <v>4963.0600000000004</v>
      </c>
      <c r="E20" s="31">
        <v>4178.67</v>
      </c>
      <c r="F20" s="31">
        <v>1722.83</v>
      </c>
      <c r="G20" s="31">
        <v>3421</v>
      </c>
      <c r="H20" s="6">
        <v>5261.99</v>
      </c>
      <c r="I20" t="s">
        <v>74</v>
      </c>
    </row>
    <row r="21" spans="1:9" x14ac:dyDescent="0.3">
      <c r="A21" s="29" t="s">
        <v>19</v>
      </c>
      <c r="B21" s="31">
        <v>2658.37</v>
      </c>
      <c r="C21" s="31">
        <v>4943.96</v>
      </c>
      <c r="D21" s="31">
        <v>2633.78</v>
      </c>
      <c r="E21" s="31">
        <v>3939.92</v>
      </c>
      <c r="F21" s="31">
        <v>6141.83</v>
      </c>
      <c r="G21" s="31">
        <v>4937</v>
      </c>
      <c r="H21" s="6">
        <v>1374.42</v>
      </c>
      <c r="I21" s="96">
        <v>7188</v>
      </c>
    </row>
    <row r="22" spans="1:9" x14ac:dyDescent="0.3">
      <c r="A22" s="29" t="s">
        <v>20</v>
      </c>
      <c r="B22" s="31">
        <v>33839.74</v>
      </c>
      <c r="C22" s="31">
        <v>34183.230000000003</v>
      </c>
      <c r="D22" s="31">
        <v>37023.620000000003</v>
      </c>
      <c r="E22" s="55">
        <v>26890.68</v>
      </c>
      <c r="F22" s="55">
        <v>39655.15</v>
      </c>
      <c r="G22" s="55">
        <v>20834</v>
      </c>
      <c r="H22" s="6">
        <v>28325.49</v>
      </c>
      <c r="I22" s="97">
        <v>46091.54</v>
      </c>
    </row>
    <row r="23" spans="1:9" x14ac:dyDescent="0.3">
      <c r="A23" s="29" t="s">
        <v>21</v>
      </c>
      <c r="B23" s="31">
        <v>17098.900000000001</v>
      </c>
      <c r="C23" s="31">
        <v>11036.82</v>
      </c>
      <c r="D23" s="31">
        <v>22896.41</v>
      </c>
      <c r="E23" s="55">
        <v>19404.03</v>
      </c>
      <c r="F23" s="55">
        <v>17566.25</v>
      </c>
      <c r="G23" s="55">
        <v>20361</v>
      </c>
      <c r="H23" s="6">
        <v>18999</v>
      </c>
      <c r="I23" s="97">
        <v>24753</v>
      </c>
    </row>
    <row r="24" spans="1:9" x14ac:dyDescent="0.3">
      <c r="A24" s="29" t="s">
        <v>22</v>
      </c>
      <c r="B24" s="31">
        <v>15164.48</v>
      </c>
      <c r="C24" s="31">
        <v>13876.13</v>
      </c>
      <c r="D24" s="31">
        <v>12366.97</v>
      </c>
      <c r="E24" s="55">
        <v>8937.61</v>
      </c>
      <c r="F24" s="55">
        <v>8775.81</v>
      </c>
      <c r="G24" s="55">
        <v>4939</v>
      </c>
      <c r="H24" s="6">
        <v>1227.78</v>
      </c>
      <c r="I24" s="97">
        <v>3462</v>
      </c>
    </row>
    <row r="25" spans="1:9" x14ac:dyDescent="0.3">
      <c r="A25" s="29" t="s">
        <v>23</v>
      </c>
      <c r="B25" s="31">
        <v>3273.42</v>
      </c>
      <c r="C25" s="31">
        <v>6467.21</v>
      </c>
      <c r="D25" s="31">
        <v>3748.26</v>
      </c>
      <c r="E25" s="55">
        <v>4846.99</v>
      </c>
      <c r="F25" s="55">
        <v>3821.18</v>
      </c>
      <c r="G25" s="55">
        <v>3972.86</v>
      </c>
      <c r="H25" s="6">
        <v>2617.27</v>
      </c>
      <c r="I25" s="97">
        <v>6009.33</v>
      </c>
    </row>
    <row r="26" spans="1:9" x14ac:dyDescent="0.3">
      <c r="A26" s="29" t="s">
        <v>24</v>
      </c>
      <c r="B26" s="31">
        <v>7048.23</v>
      </c>
      <c r="C26" s="31">
        <v>4448.4399999999996</v>
      </c>
      <c r="D26" s="31">
        <v>5034.79</v>
      </c>
      <c r="E26" s="55">
        <v>3002.65</v>
      </c>
      <c r="F26" s="55">
        <v>5456.69</v>
      </c>
      <c r="G26" s="55">
        <v>6451</v>
      </c>
      <c r="H26" s="6">
        <v>2374.4499999999998</v>
      </c>
      <c r="I26" s="97">
        <v>4805</v>
      </c>
    </row>
    <row r="27" spans="1:9" hidden="1" x14ac:dyDescent="0.3">
      <c r="A27" s="29" t="s">
        <v>34</v>
      </c>
      <c r="B27" s="31">
        <v>2455.85</v>
      </c>
      <c r="C27" s="31">
        <v>1952.18</v>
      </c>
      <c r="D27" s="31">
        <v>1677.71</v>
      </c>
      <c r="E27" s="55">
        <v>946.15</v>
      </c>
      <c r="F27" s="55"/>
      <c r="G27" s="55"/>
      <c r="H27" s="6"/>
    </row>
    <row r="28" spans="1:9" x14ac:dyDescent="0.3">
      <c r="A28" s="29" t="s">
        <v>25</v>
      </c>
      <c r="B28" s="31">
        <v>0</v>
      </c>
      <c r="C28" s="31">
        <v>536.75</v>
      </c>
      <c r="D28" s="31">
        <v>2780.55</v>
      </c>
      <c r="E28" s="55">
        <v>1555.16</v>
      </c>
      <c r="F28" s="55">
        <v>0</v>
      </c>
      <c r="G28" s="55">
        <v>1986.25</v>
      </c>
      <c r="H28" s="80" t="s">
        <v>74</v>
      </c>
      <c r="I28" t="s">
        <v>74</v>
      </c>
    </row>
    <row r="29" spans="1:9" x14ac:dyDescent="0.3">
      <c r="A29" s="29" t="s">
        <v>44</v>
      </c>
      <c r="B29" s="31">
        <v>1621.05</v>
      </c>
      <c r="C29" s="31">
        <v>5034</v>
      </c>
      <c r="D29" s="31">
        <v>0</v>
      </c>
      <c r="E29" s="55">
        <v>2252.33</v>
      </c>
      <c r="F29" s="55">
        <v>1153.43</v>
      </c>
      <c r="G29" s="55">
        <v>1091</v>
      </c>
      <c r="H29" s="6">
        <v>1591.59</v>
      </c>
      <c r="I29" s="55">
        <v>518.54999999999995</v>
      </c>
    </row>
    <row r="30" spans="1:9" x14ac:dyDescent="0.3">
      <c r="A30" s="29" t="s">
        <v>29</v>
      </c>
      <c r="B30" s="31">
        <v>290.45999999999998</v>
      </c>
      <c r="C30" s="31">
        <v>850.37</v>
      </c>
      <c r="D30" s="31">
        <v>3699.99</v>
      </c>
      <c r="E30" s="31">
        <v>0</v>
      </c>
      <c r="F30" s="31">
        <v>1578.18</v>
      </c>
      <c r="G30" s="31">
        <v>1491</v>
      </c>
      <c r="H30" s="6">
        <v>3770.64</v>
      </c>
      <c r="I30" s="55">
        <v>929.33</v>
      </c>
    </row>
    <row r="31" spans="1:9" x14ac:dyDescent="0.3">
      <c r="A31" s="29" t="s">
        <v>13</v>
      </c>
      <c r="B31" s="31">
        <v>13566.58</v>
      </c>
      <c r="C31" s="31">
        <v>13245.86</v>
      </c>
      <c r="D31" s="31">
        <v>13373.94</v>
      </c>
      <c r="E31" s="55">
        <v>6120.43</v>
      </c>
      <c r="F31" s="55">
        <v>11342.98</v>
      </c>
      <c r="G31" s="55">
        <v>10041</v>
      </c>
      <c r="H31" s="6">
        <v>5553.56</v>
      </c>
      <c r="I31" s="55">
        <v>9298.73</v>
      </c>
    </row>
    <row r="32" spans="1:9" x14ac:dyDescent="0.3">
      <c r="A32" s="29" t="s">
        <v>59</v>
      </c>
      <c r="B32" s="31">
        <v>0</v>
      </c>
      <c r="C32" s="31">
        <v>0</v>
      </c>
      <c r="D32" s="31">
        <v>0</v>
      </c>
      <c r="E32" s="55">
        <v>396.52</v>
      </c>
      <c r="F32" s="55">
        <v>259.63</v>
      </c>
      <c r="G32" s="55">
        <v>0</v>
      </c>
      <c r="H32" s="80" t="s">
        <v>74</v>
      </c>
      <c r="I32" s="80" t="s">
        <v>74</v>
      </c>
    </row>
    <row r="33" spans="1:9" x14ac:dyDescent="0.3">
      <c r="A33" s="29" t="s">
        <v>30</v>
      </c>
      <c r="B33" s="31">
        <v>143.81</v>
      </c>
      <c r="C33" s="31">
        <v>0</v>
      </c>
      <c r="D33" s="31">
        <v>205.09</v>
      </c>
      <c r="E33" s="31">
        <v>158.16999999999999</v>
      </c>
      <c r="F33" s="31">
        <v>0</v>
      </c>
      <c r="G33" s="31">
        <v>0</v>
      </c>
      <c r="H33" s="80" t="s">
        <v>74</v>
      </c>
      <c r="I33" s="85">
        <v>155</v>
      </c>
    </row>
    <row r="34" spans="1:9" x14ac:dyDescent="0.3">
      <c r="A34" s="29" t="s">
        <v>45</v>
      </c>
      <c r="B34" s="31">
        <v>0</v>
      </c>
      <c r="C34">
        <v>801.18</v>
      </c>
      <c r="D34" s="31">
        <v>0</v>
      </c>
      <c r="E34" s="31">
        <v>0</v>
      </c>
      <c r="F34" s="31">
        <v>0</v>
      </c>
      <c r="G34" s="31">
        <v>0</v>
      </c>
      <c r="H34" s="6">
        <v>836.42</v>
      </c>
      <c r="I34" s="55">
        <v>541.49</v>
      </c>
    </row>
    <row r="35" spans="1:9" x14ac:dyDescent="0.3">
      <c r="A35" s="29" t="s">
        <v>31</v>
      </c>
      <c r="B35" s="31">
        <v>594.39</v>
      </c>
      <c r="C35" s="31">
        <v>539.87</v>
      </c>
      <c r="D35" s="31">
        <v>847.78</v>
      </c>
      <c r="E35" s="31">
        <v>865.17</v>
      </c>
      <c r="F35" s="31">
        <v>670.18</v>
      </c>
      <c r="G35" s="31">
        <v>647.88</v>
      </c>
      <c r="H35" s="6">
        <v>761.13</v>
      </c>
      <c r="I35" s="55">
        <v>394.7</v>
      </c>
    </row>
    <row r="36" spans="1:9" x14ac:dyDescent="0.3">
      <c r="A36" s="29" t="s">
        <v>32</v>
      </c>
      <c r="B36" s="31">
        <v>900.52</v>
      </c>
      <c r="C36" s="31">
        <v>1910.19</v>
      </c>
      <c r="D36" s="31">
        <v>1741.05</v>
      </c>
      <c r="E36" s="31">
        <v>1425.74</v>
      </c>
      <c r="F36" s="31">
        <v>2228.86</v>
      </c>
      <c r="G36" s="31">
        <v>0</v>
      </c>
      <c r="H36" s="6">
        <v>2048.5300000000002</v>
      </c>
      <c r="I36" s="55">
        <v>1539.99</v>
      </c>
    </row>
    <row r="37" spans="1:9" x14ac:dyDescent="0.3">
      <c r="A37" s="29" t="s">
        <v>46</v>
      </c>
      <c r="B37" s="31">
        <v>155.83000000000001</v>
      </c>
      <c r="C37" s="31">
        <v>856.24</v>
      </c>
      <c r="D37" s="31">
        <v>0</v>
      </c>
      <c r="E37" s="31">
        <v>1921.12</v>
      </c>
      <c r="F37" s="31">
        <v>0</v>
      </c>
      <c r="G37" s="31">
        <v>0</v>
      </c>
      <c r="H37" s="80" t="s">
        <v>74</v>
      </c>
      <c r="I37" s="80" t="s">
        <v>74</v>
      </c>
    </row>
    <row r="38" spans="1:9" x14ac:dyDescent="0.3">
      <c r="A38" s="29" t="s">
        <v>33</v>
      </c>
      <c r="B38" s="31">
        <v>0</v>
      </c>
      <c r="C38" s="31">
        <v>0</v>
      </c>
      <c r="D38" s="31">
        <v>195.59</v>
      </c>
      <c r="E38" s="31">
        <v>0</v>
      </c>
      <c r="F38" s="31">
        <v>1671.21</v>
      </c>
      <c r="G38" s="31">
        <v>3538</v>
      </c>
      <c r="H38" s="6">
        <v>1961</v>
      </c>
      <c r="I38" s="80" t="s">
        <v>74</v>
      </c>
    </row>
    <row r="39" spans="1:9" x14ac:dyDescent="0.3">
      <c r="A39" s="29" t="s">
        <v>35</v>
      </c>
      <c r="B39" s="31">
        <v>8538.9</v>
      </c>
      <c r="C39" s="31">
        <v>12458.25</v>
      </c>
      <c r="D39" s="31">
        <v>6536.68</v>
      </c>
      <c r="E39" s="46">
        <v>5090.34</v>
      </c>
      <c r="F39" s="55">
        <v>10425</v>
      </c>
      <c r="G39" s="55">
        <v>8307.2000000000007</v>
      </c>
      <c r="H39" s="6">
        <v>3070.1</v>
      </c>
      <c r="I39" s="55">
        <v>4616</v>
      </c>
    </row>
    <row r="40" spans="1:9" x14ac:dyDescent="0.3">
      <c r="A40" s="29" t="s">
        <v>34</v>
      </c>
      <c r="B40" s="31">
        <v>2455.85</v>
      </c>
      <c r="C40" s="31">
        <v>1952.18</v>
      </c>
      <c r="D40" s="31">
        <v>1677.71</v>
      </c>
      <c r="E40" s="55">
        <v>946.15</v>
      </c>
      <c r="F40" s="55">
        <v>0</v>
      </c>
      <c r="G40" s="55">
        <v>1264</v>
      </c>
      <c r="H40" s="77">
        <v>1373.84</v>
      </c>
      <c r="I40" s="55">
        <v>2598</v>
      </c>
    </row>
    <row r="41" spans="1:9" x14ac:dyDescent="0.3">
      <c r="A41" s="29" t="s">
        <v>36</v>
      </c>
      <c r="B41" s="31">
        <v>848.99</v>
      </c>
      <c r="C41" s="31">
        <v>652.72</v>
      </c>
      <c r="D41" s="31">
        <v>1859.07</v>
      </c>
      <c r="E41" s="31">
        <v>1869.85</v>
      </c>
      <c r="F41" s="31">
        <v>2024.62</v>
      </c>
      <c r="G41" s="31">
        <v>932</v>
      </c>
      <c r="H41" s="6">
        <v>1866.15</v>
      </c>
      <c r="I41" s="55">
        <v>3623</v>
      </c>
    </row>
    <row r="42" spans="1:9" x14ac:dyDescent="0.3">
      <c r="A42" s="29" t="s">
        <v>37</v>
      </c>
      <c r="B42" s="31">
        <v>1087.7</v>
      </c>
      <c r="C42" s="31">
        <v>865.36</v>
      </c>
      <c r="D42" s="31">
        <v>1193.6300000000001</v>
      </c>
      <c r="E42" s="46">
        <v>803.01</v>
      </c>
      <c r="F42" s="46">
        <v>950.05</v>
      </c>
      <c r="G42" s="46">
        <v>2027</v>
      </c>
      <c r="H42" s="6">
        <v>725.25</v>
      </c>
      <c r="I42" s="1">
        <v>2425</v>
      </c>
    </row>
    <row r="43" spans="1:9" x14ac:dyDescent="0.3">
      <c r="A43" s="29" t="s">
        <v>38</v>
      </c>
      <c r="B43" s="31">
        <v>1060.6300000000001</v>
      </c>
      <c r="C43" s="31">
        <v>1321.73</v>
      </c>
      <c r="D43" s="31">
        <v>627.57000000000005</v>
      </c>
      <c r="E43" s="46">
        <v>289.13</v>
      </c>
      <c r="F43" s="46">
        <v>1743.89</v>
      </c>
      <c r="G43" s="46">
        <v>1164</v>
      </c>
      <c r="H43" s="6">
        <v>608.67999999999995</v>
      </c>
      <c r="I43" s="55">
        <v>367.51</v>
      </c>
    </row>
    <row r="44" spans="1:9" x14ac:dyDescent="0.3">
      <c r="A44" s="29" t="s">
        <v>47</v>
      </c>
      <c r="B44" s="31">
        <v>3290.86</v>
      </c>
      <c r="C44" s="31">
        <v>2255.34</v>
      </c>
      <c r="D44" s="31">
        <v>0</v>
      </c>
      <c r="E44" s="31">
        <v>207.99</v>
      </c>
      <c r="F44" s="31">
        <v>625.80999999999995</v>
      </c>
      <c r="G44" s="31">
        <v>1264</v>
      </c>
      <c r="H44" s="80" t="s">
        <v>74</v>
      </c>
      <c r="I44" s="85">
        <v>1525</v>
      </c>
    </row>
    <row r="45" spans="1:9" x14ac:dyDescent="0.3">
      <c r="A45" s="29" t="s">
        <v>27</v>
      </c>
      <c r="B45" s="31">
        <v>4809.1099999999997</v>
      </c>
      <c r="C45" s="31">
        <v>2384.6999999999998</v>
      </c>
      <c r="D45" s="31">
        <v>4757.88</v>
      </c>
      <c r="E45" s="31">
        <v>3948.58</v>
      </c>
      <c r="F45" s="31">
        <v>6586.39</v>
      </c>
      <c r="G45" s="31">
        <v>3779</v>
      </c>
      <c r="H45" s="6">
        <v>3180.15</v>
      </c>
      <c r="I45" s="85">
        <v>4593</v>
      </c>
    </row>
    <row r="46" spans="1:9" x14ac:dyDescent="0.3">
      <c r="A46" s="29" t="s">
        <v>39</v>
      </c>
      <c r="B46" s="31">
        <v>562</v>
      </c>
      <c r="C46" s="31">
        <v>188.03</v>
      </c>
      <c r="D46" s="31">
        <v>791.28</v>
      </c>
      <c r="E46" s="31">
        <v>0</v>
      </c>
      <c r="F46" s="31">
        <v>0</v>
      </c>
      <c r="G46" s="31">
        <v>0</v>
      </c>
      <c r="H46" s="6">
        <v>675.45</v>
      </c>
      <c r="I46" s="6">
        <v>496</v>
      </c>
    </row>
    <row r="47" spans="1:9" x14ac:dyDescent="0.3">
      <c r="A47" s="29" t="s">
        <v>40</v>
      </c>
      <c r="B47" s="31">
        <v>2295.48</v>
      </c>
      <c r="C47" s="31">
        <v>2224.9</v>
      </c>
      <c r="D47" s="31">
        <v>1226.69</v>
      </c>
      <c r="E47" s="31">
        <v>4006.57</v>
      </c>
      <c r="F47" s="31">
        <v>3697.53</v>
      </c>
      <c r="G47" s="31">
        <v>1915</v>
      </c>
      <c r="H47" s="6">
        <v>596.91999999999996</v>
      </c>
      <c r="I47" s="6">
        <v>1167</v>
      </c>
    </row>
    <row r="48" spans="1:9" x14ac:dyDescent="0.3">
      <c r="A48" s="29" t="s">
        <v>28</v>
      </c>
      <c r="B48" s="31">
        <v>1979.64</v>
      </c>
      <c r="C48" s="31">
        <v>3019.53</v>
      </c>
      <c r="D48" s="31">
        <v>2846</v>
      </c>
      <c r="E48" s="46">
        <v>0</v>
      </c>
      <c r="F48" s="46">
        <v>0</v>
      </c>
      <c r="G48" s="46">
        <v>0</v>
      </c>
      <c r="H48" s="80" t="s">
        <v>74</v>
      </c>
      <c r="I48" s="80" t="s">
        <v>74</v>
      </c>
    </row>
    <row r="49" spans="1:9" x14ac:dyDescent="0.3">
      <c r="A49" s="29" t="s">
        <v>48</v>
      </c>
      <c r="B49" s="31">
        <v>0</v>
      </c>
      <c r="C49" s="31">
        <v>1210</v>
      </c>
      <c r="D49" s="31">
        <v>0</v>
      </c>
      <c r="E49" s="31">
        <v>1125.8399999999999</v>
      </c>
      <c r="F49" s="31">
        <v>0</v>
      </c>
      <c r="G49" s="31">
        <v>0</v>
      </c>
      <c r="H49" s="80" t="s">
        <v>74</v>
      </c>
      <c r="I49" s="80" t="s">
        <v>74</v>
      </c>
    </row>
    <row r="50" spans="1:9" x14ac:dyDescent="0.3">
      <c r="A50" s="29" t="s">
        <v>60</v>
      </c>
      <c r="B50" s="31">
        <v>0</v>
      </c>
      <c r="C50" s="31">
        <v>0</v>
      </c>
      <c r="D50" s="31">
        <v>0</v>
      </c>
      <c r="E50" s="6">
        <v>442.56</v>
      </c>
      <c r="F50" s="6"/>
      <c r="G50" s="6">
        <v>0</v>
      </c>
      <c r="H50" s="6">
        <v>564.78</v>
      </c>
      <c r="I50" s="85">
        <v>332.24</v>
      </c>
    </row>
    <row r="51" spans="1:9" x14ac:dyDescent="0.3">
      <c r="A51" s="29" t="s">
        <v>43</v>
      </c>
      <c r="B51" s="31">
        <v>2734.03</v>
      </c>
      <c r="C51" s="31">
        <v>1254.5999999999999</v>
      </c>
      <c r="D51" s="31">
        <v>0</v>
      </c>
      <c r="E51" s="31">
        <v>0</v>
      </c>
      <c r="F51" s="31"/>
      <c r="G51" s="31">
        <v>0</v>
      </c>
      <c r="H51" s="80" t="s">
        <v>74</v>
      </c>
      <c r="I51" s="31">
        <v>783.25</v>
      </c>
    </row>
    <row r="52" spans="1:9" x14ac:dyDescent="0.3">
      <c r="A52" s="29" t="s">
        <v>75</v>
      </c>
      <c r="B52" t="s">
        <v>76</v>
      </c>
      <c r="C52" t="s">
        <v>76</v>
      </c>
      <c r="D52" t="s">
        <v>76</v>
      </c>
      <c r="E52" t="s">
        <v>76</v>
      </c>
      <c r="F52" t="s">
        <v>76</v>
      </c>
      <c r="G52" t="s">
        <v>76</v>
      </c>
      <c r="H52" s="1">
        <v>556.15</v>
      </c>
      <c r="I52" s="80" t="s">
        <v>74</v>
      </c>
    </row>
    <row r="53" spans="1:9" x14ac:dyDescent="0.3">
      <c r="A53" s="29" t="s">
        <v>79</v>
      </c>
      <c r="H53" s="1"/>
      <c r="I53" s="80"/>
    </row>
    <row r="55" spans="1:9" x14ac:dyDescent="0.3">
      <c r="A55" s="29" t="s">
        <v>3</v>
      </c>
      <c r="I55" s="1">
        <v>35235.93</v>
      </c>
    </row>
  </sheetData>
  <autoFilter ref="A3:H3" xr:uid="{2223ACA0-F603-4126-9A65-F144F0C8015E}">
    <sortState xmlns:xlrd2="http://schemas.microsoft.com/office/spreadsheetml/2017/richdata2" ref="A4:H60">
      <sortCondition ref="A3"/>
    </sortState>
  </autoFilter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4C973-8A2A-4A02-9903-48AE773F9232}">
  <dimension ref="A2:H13"/>
  <sheetViews>
    <sheetView workbookViewId="0">
      <selection activeCell="F18" sqref="F18"/>
    </sheetView>
  </sheetViews>
  <sheetFormatPr defaultRowHeight="14.4" x14ac:dyDescent="0.3"/>
  <cols>
    <col min="1" max="1" width="20.109375" customWidth="1"/>
    <col min="2" max="2" width="17.6640625" customWidth="1"/>
    <col min="3" max="3" width="16" customWidth="1"/>
    <col min="4" max="4" width="15.6640625" customWidth="1"/>
    <col min="5" max="5" width="12.6640625" customWidth="1"/>
    <col min="6" max="7" width="15.109375" customWidth="1"/>
    <col min="8" max="8" width="17.88671875" customWidth="1"/>
  </cols>
  <sheetData>
    <row r="2" spans="1:8" ht="15" thickBot="1" x14ac:dyDescent="0.35">
      <c r="H2" s="6"/>
    </row>
    <row r="3" spans="1:8" ht="15" thickBot="1" x14ac:dyDescent="0.35">
      <c r="A3" s="2" t="s">
        <v>1</v>
      </c>
      <c r="B3" s="3" t="s">
        <v>49</v>
      </c>
      <c r="C3" s="4" t="s">
        <v>42</v>
      </c>
      <c r="D3" s="4" t="s">
        <v>41</v>
      </c>
      <c r="E3" s="45" t="s">
        <v>58</v>
      </c>
      <c r="F3" s="45" t="s">
        <v>64</v>
      </c>
      <c r="G3" s="51" t="s">
        <v>66</v>
      </c>
      <c r="H3" s="48" t="s">
        <v>56</v>
      </c>
    </row>
    <row r="5" spans="1:8" x14ac:dyDescent="0.3">
      <c r="A5" s="49" t="s">
        <v>18</v>
      </c>
      <c r="B5" s="1">
        <v>5116.83</v>
      </c>
      <c r="C5" s="1">
        <v>2408.36</v>
      </c>
      <c r="D5" s="1">
        <v>4963.0600000000004</v>
      </c>
      <c r="E5" s="1">
        <v>4178.67</v>
      </c>
      <c r="F5" s="31">
        <v>1722.83</v>
      </c>
      <c r="G5" s="31">
        <v>3421</v>
      </c>
      <c r="H5" s="6">
        <f>AVERAGE(B5,G5)</f>
        <v>4268.915</v>
      </c>
    </row>
    <row r="7" spans="1:8" x14ac:dyDescent="0.3">
      <c r="A7" s="59" t="s">
        <v>21</v>
      </c>
      <c r="B7" s="1">
        <v>17098.900000000001</v>
      </c>
      <c r="C7" s="1">
        <v>11036.82</v>
      </c>
      <c r="D7" s="1">
        <v>22896.41</v>
      </c>
      <c r="E7" s="54">
        <v>19404.03</v>
      </c>
      <c r="F7" s="55">
        <v>17566.25</v>
      </c>
      <c r="G7" s="55">
        <v>20361</v>
      </c>
      <c r="H7" s="6">
        <f t="shared" ref="H7:H11" si="0">AVERAGE(B7:G7)</f>
        <v>18060.568333333333</v>
      </c>
    </row>
    <row r="8" spans="1:8" x14ac:dyDescent="0.3">
      <c r="A8" s="59" t="s">
        <v>22</v>
      </c>
      <c r="B8" s="1">
        <v>15164.48</v>
      </c>
      <c r="C8" s="1">
        <v>13876.13</v>
      </c>
      <c r="D8" s="1">
        <v>12366.97</v>
      </c>
      <c r="E8" s="54">
        <v>8937.61</v>
      </c>
      <c r="F8" s="55">
        <v>8775.81</v>
      </c>
      <c r="G8" s="62">
        <v>4939</v>
      </c>
      <c r="H8" s="6">
        <f t="shared" si="0"/>
        <v>10676.666666666666</v>
      </c>
    </row>
    <row r="9" spans="1:8" x14ac:dyDescent="0.3">
      <c r="A9" s="49" t="s">
        <v>23</v>
      </c>
      <c r="B9" s="1">
        <v>3273.42</v>
      </c>
      <c r="C9" s="1">
        <v>6467.21</v>
      </c>
      <c r="D9" s="31">
        <v>3748.26</v>
      </c>
      <c r="E9" s="54">
        <v>4846.99</v>
      </c>
      <c r="F9" s="55">
        <v>3821.18</v>
      </c>
      <c r="G9" s="55">
        <v>3972</v>
      </c>
      <c r="H9" s="6">
        <f t="shared" si="0"/>
        <v>4354.8433333333332</v>
      </c>
    </row>
    <row r="10" spans="1:8" x14ac:dyDescent="0.3">
      <c r="A10" s="50" t="s">
        <v>27</v>
      </c>
      <c r="B10" s="1">
        <v>4809.1099999999997</v>
      </c>
      <c r="C10" s="1">
        <v>2384.6999999999998</v>
      </c>
      <c r="D10" s="56">
        <v>4757.88</v>
      </c>
      <c r="E10" s="57">
        <v>3948.58</v>
      </c>
      <c r="F10" s="55">
        <v>6586.39</v>
      </c>
      <c r="G10" s="62">
        <v>3779</v>
      </c>
      <c r="H10" s="6">
        <f t="shared" si="0"/>
        <v>4377.6099999999997</v>
      </c>
    </row>
    <row r="11" spans="1:8" x14ac:dyDescent="0.3">
      <c r="A11" s="59" t="s">
        <v>13</v>
      </c>
      <c r="B11" s="1">
        <v>13566.58</v>
      </c>
      <c r="C11" s="1">
        <v>13245.86</v>
      </c>
      <c r="D11" s="56">
        <v>13373.94</v>
      </c>
      <c r="E11" s="57">
        <v>6120.43</v>
      </c>
      <c r="F11" s="55">
        <v>11342.98</v>
      </c>
      <c r="G11" s="62">
        <v>10041</v>
      </c>
      <c r="H11" s="6">
        <f t="shared" si="0"/>
        <v>11281.798333333334</v>
      </c>
    </row>
    <row r="12" spans="1:8" x14ac:dyDescent="0.3">
      <c r="A12" s="29"/>
      <c r="B12" s="1"/>
      <c r="C12" s="1"/>
      <c r="D12" s="56"/>
      <c r="E12" s="57"/>
      <c r="F12" s="55"/>
      <c r="G12" s="55"/>
      <c r="H12" s="6"/>
    </row>
    <row r="13" spans="1:8" x14ac:dyDescent="0.3">
      <c r="F13" s="6"/>
      <c r="G13" s="6"/>
      <c r="H13" s="6"/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F25B2-C271-4EAD-B395-62A81C032FB3}">
  <dimension ref="A2:J18"/>
  <sheetViews>
    <sheetView workbookViewId="0">
      <selection activeCell="C19" sqref="C19"/>
    </sheetView>
  </sheetViews>
  <sheetFormatPr defaultRowHeight="14.4" x14ac:dyDescent="0.3"/>
  <cols>
    <col min="1" max="1" width="25.21875" customWidth="1"/>
    <col min="2" max="2" width="18.6640625" customWidth="1"/>
    <col min="3" max="3" width="23.88671875" customWidth="1"/>
    <col min="4" max="4" width="16.88671875" customWidth="1"/>
    <col min="5" max="5" width="14.77734375" customWidth="1"/>
    <col min="6" max="6" width="15.21875" customWidth="1"/>
    <col min="7" max="7" width="14.21875" customWidth="1"/>
    <col min="8" max="9" width="12.88671875" bestFit="1" customWidth="1"/>
  </cols>
  <sheetData>
    <row r="2" spans="1:10" ht="15" thickBot="1" x14ac:dyDescent="0.35"/>
    <row r="3" spans="1:10" ht="15" thickBot="1" x14ac:dyDescent="0.35">
      <c r="A3" s="16" t="s">
        <v>11</v>
      </c>
      <c r="B3" s="10" t="s">
        <v>53</v>
      </c>
      <c r="C3" s="32" t="s">
        <v>51</v>
      </c>
      <c r="D3" s="32" t="s">
        <v>50</v>
      </c>
      <c r="E3" s="32" t="s">
        <v>57</v>
      </c>
      <c r="F3" s="32" t="s">
        <v>61</v>
      </c>
      <c r="G3" s="32" t="s">
        <v>67</v>
      </c>
      <c r="H3" s="32" t="s">
        <v>71</v>
      </c>
      <c r="I3" s="82" t="s">
        <v>81</v>
      </c>
    </row>
    <row r="4" spans="1:10" x14ac:dyDescent="0.3">
      <c r="A4" s="13" t="s">
        <v>0</v>
      </c>
      <c r="B4" s="11">
        <v>26870.37</v>
      </c>
      <c r="C4" s="33">
        <v>19257.37</v>
      </c>
      <c r="D4" s="34">
        <v>34212.92</v>
      </c>
      <c r="E4" s="33">
        <v>25930.81</v>
      </c>
      <c r="F4" s="33">
        <v>24156.65</v>
      </c>
      <c r="G4" s="33">
        <v>28705</v>
      </c>
      <c r="H4" s="78">
        <v>21384.9</v>
      </c>
      <c r="I4" s="78">
        <v>24299.17</v>
      </c>
    </row>
    <row r="5" spans="1:10" hidden="1" x14ac:dyDescent="0.3">
      <c r="A5" s="14" t="s">
        <v>10</v>
      </c>
      <c r="C5" s="33"/>
      <c r="D5" s="35">
        <v>1566.06</v>
      </c>
      <c r="E5" s="33"/>
      <c r="F5" s="33"/>
      <c r="G5" s="33"/>
      <c r="H5" s="13"/>
    </row>
    <row r="6" spans="1:10" x14ac:dyDescent="0.3">
      <c r="A6" s="13" t="s">
        <v>3</v>
      </c>
      <c r="B6" s="27">
        <v>25151.19</v>
      </c>
      <c r="C6" s="34">
        <v>25185.32</v>
      </c>
      <c r="D6" s="33">
        <v>19114.400000000001</v>
      </c>
      <c r="E6" s="34">
        <v>30935.77</v>
      </c>
      <c r="F6" s="33">
        <v>27845.82</v>
      </c>
      <c r="G6" s="33">
        <v>32792</v>
      </c>
      <c r="H6" s="78">
        <v>18615.22</v>
      </c>
      <c r="I6" s="78">
        <v>14479</v>
      </c>
    </row>
    <row r="7" spans="1:10" ht="15" thickBot="1" x14ac:dyDescent="0.35">
      <c r="A7" s="15" t="s">
        <v>2</v>
      </c>
      <c r="B7" s="12">
        <v>1520.83</v>
      </c>
      <c r="C7" s="37">
        <v>1037.56</v>
      </c>
      <c r="D7" s="36">
        <v>2005.95</v>
      </c>
      <c r="E7" s="37">
        <v>1585</v>
      </c>
      <c r="F7" s="37">
        <v>1687.37</v>
      </c>
      <c r="G7" s="37">
        <v>1640</v>
      </c>
      <c r="H7" s="79">
        <v>164.64</v>
      </c>
      <c r="I7" s="78">
        <v>286.77</v>
      </c>
    </row>
    <row r="8" spans="1:10" x14ac:dyDescent="0.3">
      <c r="B8" s="6">
        <f t="shared" ref="B8:G8" si="0">SUM(B4:B7)</f>
        <v>53542.39</v>
      </c>
      <c r="C8" s="6">
        <f t="shared" si="0"/>
        <v>45480.25</v>
      </c>
      <c r="D8" s="6">
        <f t="shared" si="0"/>
        <v>56899.329999999994</v>
      </c>
      <c r="E8" s="6">
        <f t="shared" si="0"/>
        <v>58451.58</v>
      </c>
      <c r="F8" s="6">
        <f t="shared" si="0"/>
        <v>53689.840000000004</v>
      </c>
      <c r="G8" s="6">
        <f t="shared" si="0"/>
        <v>63137</v>
      </c>
      <c r="H8" s="6">
        <f>SUM(H4:H7)</f>
        <v>40164.76</v>
      </c>
      <c r="I8" s="6">
        <f>SUM(I4:I7)</f>
        <v>39064.939999999995</v>
      </c>
    </row>
    <row r="9" spans="1:10" x14ac:dyDescent="0.3">
      <c r="G9" t="s">
        <v>83</v>
      </c>
      <c r="H9" s="6">
        <v>6346.14</v>
      </c>
      <c r="I9" s="1">
        <v>1349.12</v>
      </c>
      <c r="J9" t="s">
        <v>84</v>
      </c>
    </row>
    <row r="10" spans="1:10" x14ac:dyDescent="0.3">
      <c r="H10" s="63">
        <f>SUM(H8:H9)</f>
        <v>46510.9</v>
      </c>
      <c r="I10" s="1">
        <v>29023</v>
      </c>
      <c r="J10" t="s">
        <v>20</v>
      </c>
    </row>
    <row r="11" spans="1:10" x14ac:dyDescent="0.3">
      <c r="I11" s="1">
        <f>SUM(I8:I10)</f>
        <v>69437.06</v>
      </c>
    </row>
    <row r="12" spans="1:10" x14ac:dyDescent="0.3">
      <c r="C12" t="s">
        <v>78</v>
      </c>
      <c r="I12" s="1"/>
    </row>
    <row r="13" spans="1:10" x14ac:dyDescent="0.3">
      <c r="I13" s="1"/>
    </row>
    <row r="14" spans="1:10" x14ac:dyDescent="0.3">
      <c r="A14" t="s">
        <v>100</v>
      </c>
      <c r="I14" s="1"/>
    </row>
    <row r="15" spans="1:10" x14ac:dyDescent="0.3">
      <c r="A15" s="49" t="s">
        <v>20</v>
      </c>
      <c r="B15" s="1">
        <v>33839.74</v>
      </c>
      <c r="C15" s="1">
        <v>34183.230000000003</v>
      </c>
      <c r="D15" s="1">
        <v>37023.620000000003</v>
      </c>
      <c r="E15" s="55">
        <v>26890.68</v>
      </c>
      <c r="F15" s="55">
        <v>39655.15</v>
      </c>
      <c r="G15" s="62">
        <v>20834</v>
      </c>
      <c r="H15" s="1">
        <v>20837.78</v>
      </c>
      <c r="I15" s="1">
        <v>29023</v>
      </c>
    </row>
    <row r="16" spans="1:10" x14ac:dyDescent="0.3">
      <c r="A16" s="88" t="s">
        <v>85</v>
      </c>
      <c r="I16" s="1">
        <v>336.12</v>
      </c>
      <c r="J16" t="s">
        <v>86</v>
      </c>
    </row>
    <row r="17" spans="1:2" x14ac:dyDescent="0.3">
      <c r="A17" s="88" t="s">
        <v>79</v>
      </c>
      <c r="B17" t="s">
        <v>92</v>
      </c>
    </row>
    <row r="18" spans="1:2" x14ac:dyDescent="0.3">
      <c r="A18" s="88" t="s">
        <v>60</v>
      </c>
      <c r="B18" t="s">
        <v>93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37DE8-AF1F-4B5A-B74D-2DFFAD670303}">
  <dimension ref="A3:J27"/>
  <sheetViews>
    <sheetView topLeftCell="A4" workbookViewId="0">
      <selection activeCell="I5" sqref="I5"/>
    </sheetView>
  </sheetViews>
  <sheetFormatPr defaultRowHeight="14.4" x14ac:dyDescent="0.3"/>
  <cols>
    <col min="1" max="1" width="30.109375" customWidth="1"/>
    <col min="2" max="2" width="15.77734375" customWidth="1"/>
    <col min="3" max="3" width="18.5546875" customWidth="1"/>
    <col min="4" max="4" width="20.88671875" customWidth="1"/>
    <col min="5" max="6" width="16.88671875" customWidth="1"/>
    <col min="7" max="7" width="24.88671875" bestFit="1" customWidth="1"/>
    <col min="8" max="8" width="12.88671875" bestFit="1" customWidth="1"/>
    <col min="9" max="9" width="14.21875" customWidth="1"/>
  </cols>
  <sheetData>
    <row r="3" spans="1:10" ht="15" thickBot="1" x14ac:dyDescent="0.35"/>
    <row r="4" spans="1:10" ht="15" thickBot="1" x14ac:dyDescent="0.35">
      <c r="A4" s="2" t="s">
        <v>1</v>
      </c>
      <c r="B4" s="45" t="s">
        <v>49</v>
      </c>
      <c r="C4" s="4" t="s">
        <v>42</v>
      </c>
      <c r="D4" s="4" t="s">
        <v>41</v>
      </c>
      <c r="E4" s="45" t="s">
        <v>58</v>
      </c>
      <c r="F4" s="67" t="s">
        <v>64</v>
      </c>
      <c r="G4" s="68" t="s">
        <v>66</v>
      </c>
      <c r="H4" s="83" t="s">
        <v>73</v>
      </c>
      <c r="I4" s="83" t="s">
        <v>80</v>
      </c>
    </row>
    <row r="5" spans="1:10" x14ac:dyDescent="0.3">
      <c r="A5" s="59" t="s">
        <v>18</v>
      </c>
      <c r="B5" s="1">
        <v>5116.83</v>
      </c>
      <c r="C5" s="1">
        <v>2408.36</v>
      </c>
      <c r="D5" s="1">
        <v>4963.0600000000004</v>
      </c>
      <c r="E5" s="1">
        <v>4178.67</v>
      </c>
      <c r="F5" s="31">
        <v>1722.83</v>
      </c>
      <c r="G5" s="31">
        <v>3421</v>
      </c>
      <c r="H5" s="6">
        <v>5261.99</v>
      </c>
      <c r="I5" t="s">
        <v>74</v>
      </c>
    </row>
    <row r="6" spans="1:10" x14ac:dyDescent="0.3">
      <c r="A6" s="59" t="s">
        <v>21</v>
      </c>
      <c r="B6" s="1">
        <v>17098.900000000001</v>
      </c>
      <c r="C6" s="1">
        <v>11036.82</v>
      </c>
      <c r="D6" s="11">
        <v>22896.41</v>
      </c>
      <c r="E6" s="64">
        <v>19404.03</v>
      </c>
      <c r="F6" s="55">
        <v>17566.25</v>
      </c>
      <c r="G6" s="55">
        <v>20361</v>
      </c>
      <c r="H6" s="6">
        <v>18999</v>
      </c>
      <c r="I6" s="55">
        <v>24753</v>
      </c>
    </row>
    <row r="7" spans="1:10" x14ac:dyDescent="0.3">
      <c r="A7" s="59" t="s">
        <v>22</v>
      </c>
      <c r="B7" s="1">
        <v>15164.48</v>
      </c>
      <c r="C7" s="1">
        <v>13876.13</v>
      </c>
      <c r="D7" s="11">
        <v>12366.97</v>
      </c>
      <c r="E7" s="64">
        <v>8937.61</v>
      </c>
      <c r="F7" s="55">
        <v>8775.81</v>
      </c>
      <c r="G7" s="55">
        <v>4939</v>
      </c>
      <c r="H7" s="6">
        <v>1227</v>
      </c>
      <c r="I7" s="1">
        <v>1703</v>
      </c>
      <c r="J7" t="s">
        <v>87</v>
      </c>
    </row>
    <row r="8" spans="1:10" x14ac:dyDescent="0.3">
      <c r="A8" s="59" t="s">
        <v>13</v>
      </c>
      <c r="B8" s="1">
        <v>13566.58</v>
      </c>
      <c r="C8" s="1">
        <v>13245.86</v>
      </c>
      <c r="D8" s="65">
        <v>13373.94</v>
      </c>
      <c r="E8" s="66">
        <v>6120.43</v>
      </c>
      <c r="F8" s="55">
        <v>11342.98</v>
      </c>
      <c r="G8" s="55">
        <v>10041</v>
      </c>
      <c r="H8" s="6">
        <v>5553.56</v>
      </c>
      <c r="I8" s="1">
        <v>8936</v>
      </c>
    </row>
    <row r="9" spans="1:10" x14ac:dyDescent="0.3">
      <c r="A9" s="29" t="s">
        <v>24</v>
      </c>
      <c r="B9" s="31">
        <v>7048.23</v>
      </c>
      <c r="C9" s="31">
        <v>4448.4399999999996</v>
      </c>
      <c r="D9" s="31">
        <v>5034.79</v>
      </c>
      <c r="E9" s="55">
        <v>3002.65</v>
      </c>
      <c r="F9" s="55">
        <v>5456.69</v>
      </c>
      <c r="G9" s="6">
        <v>6451</v>
      </c>
      <c r="H9" s="6">
        <v>2374.4499999999998</v>
      </c>
      <c r="I9" s="1">
        <v>4805.99</v>
      </c>
    </row>
    <row r="10" spans="1:10" x14ac:dyDescent="0.3">
      <c r="A10" s="29" t="s">
        <v>37</v>
      </c>
      <c r="B10" s="31">
        <v>1087.7</v>
      </c>
      <c r="C10" s="31">
        <v>865.36</v>
      </c>
      <c r="D10" s="30">
        <v>1193.6300000000001</v>
      </c>
      <c r="E10" s="46">
        <v>803.01</v>
      </c>
      <c r="F10" s="46">
        <v>950.05</v>
      </c>
      <c r="G10" s="31">
        <v>2027</v>
      </c>
      <c r="H10" s="6">
        <v>725.25</v>
      </c>
      <c r="I10" s="1">
        <v>2425</v>
      </c>
    </row>
    <row r="11" spans="1:10" x14ac:dyDescent="0.3">
      <c r="A11" s="29" t="s">
        <v>29</v>
      </c>
      <c r="B11" s="31">
        <v>290.45999999999998</v>
      </c>
      <c r="C11" s="31">
        <v>850.37</v>
      </c>
      <c r="D11" s="31">
        <v>3699.99</v>
      </c>
      <c r="E11" s="55">
        <v>0</v>
      </c>
      <c r="F11" s="55">
        <v>1578.18</v>
      </c>
      <c r="G11" s="6">
        <v>1491</v>
      </c>
      <c r="H11" s="6">
        <v>3770.64</v>
      </c>
      <c r="I11" s="1">
        <v>929.33</v>
      </c>
    </row>
    <row r="12" spans="1:10" x14ac:dyDescent="0.3">
      <c r="A12" s="29" t="s">
        <v>14</v>
      </c>
      <c r="B12" s="31">
        <v>3187.27</v>
      </c>
      <c r="C12" s="31">
        <v>6015.57</v>
      </c>
      <c r="D12" s="31">
        <v>3066.3</v>
      </c>
      <c r="E12" s="31">
        <v>4307</v>
      </c>
      <c r="F12" s="31">
        <v>5171.33</v>
      </c>
      <c r="G12" s="6">
        <v>762</v>
      </c>
      <c r="H12" s="6">
        <v>478.49</v>
      </c>
      <c r="I12" s="1">
        <v>513.22</v>
      </c>
    </row>
    <row r="13" spans="1:10" x14ac:dyDescent="0.3">
      <c r="A13" s="87" t="s">
        <v>90</v>
      </c>
      <c r="B13" s="31"/>
      <c r="C13" s="31"/>
      <c r="D13" s="31"/>
      <c r="E13" s="55"/>
      <c r="F13" s="55"/>
      <c r="G13" s="31"/>
      <c r="H13" s="6"/>
      <c r="I13" s="90">
        <v>288.47000000000003</v>
      </c>
    </row>
    <row r="14" spans="1:10" x14ac:dyDescent="0.3">
      <c r="A14" s="87" t="s">
        <v>97</v>
      </c>
      <c r="B14" s="31"/>
      <c r="C14" s="31"/>
      <c r="D14" s="31"/>
      <c r="E14" s="55"/>
      <c r="F14" s="55"/>
      <c r="G14" s="31"/>
      <c r="H14" s="6"/>
      <c r="I14" s="90">
        <v>382</v>
      </c>
    </row>
    <row r="15" spans="1:10" x14ac:dyDescent="0.3">
      <c r="A15" s="87" t="s">
        <v>30</v>
      </c>
      <c r="B15" s="31"/>
      <c r="C15" s="31"/>
      <c r="D15" s="31"/>
      <c r="E15" s="55"/>
      <c r="F15" s="55"/>
      <c r="G15" s="31"/>
      <c r="H15" s="6"/>
      <c r="I15" s="90">
        <v>151.18</v>
      </c>
    </row>
    <row r="16" spans="1:10" x14ac:dyDescent="0.3">
      <c r="A16" s="87" t="s">
        <v>47</v>
      </c>
      <c r="B16" s="31"/>
      <c r="C16" s="31"/>
      <c r="D16" s="31"/>
      <c r="E16" s="55"/>
      <c r="F16" s="55"/>
      <c r="G16" s="31"/>
      <c r="H16" s="6"/>
      <c r="I16" s="90">
        <v>1525.7</v>
      </c>
    </row>
    <row r="17" spans="1:10" ht="15" thickBot="1" x14ac:dyDescent="0.35">
      <c r="A17" s="29" t="s">
        <v>23</v>
      </c>
      <c r="B17" s="1">
        <v>3273.42</v>
      </c>
      <c r="C17" s="1">
        <v>6467.21</v>
      </c>
      <c r="D17" s="27">
        <v>3748.26</v>
      </c>
      <c r="E17" s="64">
        <v>4846.99</v>
      </c>
      <c r="F17" s="55">
        <v>3821.18</v>
      </c>
      <c r="G17" s="55">
        <v>3972</v>
      </c>
      <c r="H17" s="6">
        <v>2617.27</v>
      </c>
      <c r="I17" s="1">
        <v>5793</v>
      </c>
    </row>
    <row r="18" spans="1:10" x14ac:dyDescent="0.3">
      <c r="A18" s="29" t="s">
        <v>27</v>
      </c>
      <c r="B18" s="1">
        <v>4809.1099999999997</v>
      </c>
      <c r="C18" s="1">
        <v>2384.6999999999998</v>
      </c>
      <c r="D18" s="65">
        <v>4757.88</v>
      </c>
      <c r="E18" s="66">
        <v>3948.58</v>
      </c>
      <c r="F18" s="55">
        <v>6586.39</v>
      </c>
      <c r="G18" s="55">
        <v>3779</v>
      </c>
      <c r="H18" s="72">
        <v>3180.15</v>
      </c>
      <c r="I18" s="1">
        <v>4593</v>
      </c>
    </row>
    <row r="19" spans="1:10" ht="15" thickBot="1" x14ac:dyDescent="0.35">
      <c r="A19" s="29" t="s">
        <v>91</v>
      </c>
      <c r="B19" s="69">
        <f t="shared" ref="B19:G19" si="0">SUM(B5:B18)</f>
        <v>70642.98</v>
      </c>
      <c r="C19" s="69">
        <f t="shared" si="0"/>
        <v>61598.82</v>
      </c>
      <c r="D19" s="74">
        <f t="shared" si="0"/>
        <v>75101.23</v>
      </c>
      <c r="E19" s="70">
        <f t="shared" si="0"/>
        <v>55548.97</v>
      </c>
      <c r="F19" s="69">
        <f t="shared" si="0"/>
        <v>62971.69</v>
      </c>
      <c r="G19" s="71">
        <f t="shared" si="0"/>
        <v>57244</v>
      </c>
      <c r="H19" s="73">
        <f>SUM(H5:H18)</f>
        <v>44187.799999999996</v>
      </c>
      <c r="I19" s="63">
        <f>SUM(I6:I18)</f>
        <v>56798.89</v>
      </c>
    </row>
    <row r="20" spans="1:10" x14ac:dyDescent="0.3">
      <c r="D20" s="75" t="s">
        <v>70</v>
      </c>
      <c r="G20" t="s">
        <v>3</v>
      </c>
      <c r="H20" s="6">
        <v>8923</v>
      </c>
      <c r="I20" s="1">
        <v>18525</v>
      </c>
      <c r="J20" t="s">
        <v>95</v>
      </c>
    </row>
    <row r="21" spans="1:10" x14ac:dyDescent="0.3">
      <c r="G21" t="s">
        <v>0</v>
      </c>
      <c r="H21" s="6">
        <v>551.27</v>
      </c>
      <c r="I21" s="1">
        <v>540</v>
      </c>
      <c r="J21" t="s">
        <v>95</v>
      </c>
    </row>
    <row r="22" spans="1:10" x14ac:dyDescent="0.3">
      <c r="G22" t="s">
        <v>2</v>
      </c>
      <c r="H22" s="6">
        <v>586.62</v>
      </c>
      <c r="I22" s="1">
        <v>84.9</v>
      </c>
      <c r="J22" t="s">
        <v>95</v>
      </c>
    </row>
    <row r="23" spans="1:10" x14ac:dyDescent="0.3">
      <c r="G23" t="s">
        <v>17</v>
      </c>
      <c r="H23" s="6">
        <v>4262.49</v>
      </c>
      <c r="I23" s="1">
        <v>421.79</v>
      </c>
      <c r="J23" t="s">
        <v>94</v>
      </c>
    </row>
    <row r="24" spans="1:10" x14ac:dyDescent="0.3">
      <c r="G24" t="s">
        <v>20</v>
      </c>
      <c r="H24" s="6">
        <v>2674.4</v>
      </c>
      <c r="I24" s="1">
        <v>291</v>
      </c>
      <c r="J24" t="s">
        <v>95</v>
      </c>
    </row>
    <row r="25" spans="1:10" x14ac:dyDescent="0.3">
      <c r="G25" t="s">
        <v>38</v>
      </c>
      <c r="H25" s="6"/>
      <c r="I25" s="1">
        <v>287</v>
      </c>
      <c r="J25" t="s">
        <v>95</v>
      </c>
    </row>
    <row r="26" spans="1:10" x14ac:dyDescent="0.3">
      <c r="H26" s="6"/>
      <c r="I26" s="93">
        <f>SUM(I19:I25)</f>
        <v>76948.579999999987</v>
      </c>
      <c r="J26" t="s">
        <v>69</v>
      </c>
    </row>
    <row r="27" spans="1:10" x14ac:dyDescent="0.3">
      <c r="H27" s="6"/>
      <c r="I27" s="1"/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B89EA-2D7C-48C7-82FE-9B3FC13F8F75}">
  <dimension ref="A1:K48"/>
  <sheetViews>
    <sheetView workbookViewId="0">
      <selection activeCell="J16" sqref="J16"/>
    </sheetView>
  </sheetViews>
  <sheetFormatPr defaultRowHeight="14.4" x14ac:dyDescent="0.3"/>
  <cols>
    <col min="1" max="1" width="20.5546875" customWidth="1"/>
    <col min="2" max="2" width="17" customWidth="1"/>
    <col min="3" max="3" width="19.109375" customWidth="1"/>
    <col min="4" max="4" width="15.77734375" customWidth="1"/>
    <col min="5" max="5" width="14.77734375" customWidth="1"/>
    <col min="6" max="6" width="18" customWidth="1"/>
    <col min="7" max="7" width="15.77734375" customWidth="1"/>
    <col min="8" max="8" width="15.5546875" customWidth="1"/>
    <col min="9" max="9" width="11.88671875" bestFit="1" customWidth="1"/>
  </cols>
  <sheetData>
    <row r="1" spans="1:11" ht="15" thickBot="1" x14ac:dyDescent="0.35">
      <c r="A1" s="2" t="s">
        <v>1</v>
      </c>
      <c r="B1" s="3" t="s">
        <v>49</v>
      </c>
      <c r="C1" s="4" t="s">
        <v>42</v>
      </c>
      <c r="D1" s="4" t="s">
        <v>41</v>
      </c>
      <c r="E1" s="45" t="s">
        <v>58</v>
      </c>
      <c r="F1" s="45" t="s">
        <v>64</v>
      </c>
      <c r="G1" s="45" t="s">
        <v>66</v>
      </c>
      <c r="H1" s="45" t="s">
        <v>73</v>
      </c>
      <c r="I1" s="86" t="s">
        <v>80</v>
      </c>
    </row>
    <row r="2" spans="1:11" x14ac:dyDescent="0.3">
      <c r="A2" s="29" t="s">
        <v>12</v>
      </c>
      <c r="B2" s="31">
        <v>0</v>
      </c>
      <c r="C2" s="31">
        <v>0</v>
      </c>
      <c r="D2" s="31">
        <v>3478</v>
      </c>
      <c r="E2" s="31">
        <v>0</v>
      </c>
      <c r="F2" s="31">
        <v>0</v>
      </c>
      <c r="G2" s="31">
        <v>0</v>
      </c>
      <c r="H2" s="1">
        <v>408.81</v>
      </c>
      <c r="I2" s="1">
        <v>1986</v>
      </c>
    </row>
    <row r="3" spans="1:11" x14ac:dyDescent="0.3">
      <c r="A3" s="29" t="s">
        <v>75</v>
      </c>
      <c r="B3" s="31"/>
      <c r="C3" s="31"/>
      <c r="D3" s="31"/>
      <c r="E3" s="31"/>
      <c r="F3" s="31"/>
      <c r="G3" s="31"/>
      <c r="H3" s="1">
        <v>556.15</v>
      </c>
      <c r="I3" s="84"/>
      <c r="J3" s="84"/>
      <c r="K3" s="84"/>
    </row>
    <row r="4" spans="1:11" x14ac:dyDescent="0.3">
      <c r="A4" s="29" t="s">
        <v>44</v>
      </c>
      <c r="B4" s="31">
        <v>1621.05</v>
      </c>
      <c r="C4" s="30">
        <v>5034</v>
      </c>
      <c r="D4" s="31">
        <v>0</v>
      </c>
      <c r="E4" s="55">
        <v>2252.33</v>
      </c>
      <c r="F4" s="55">
        <v>1153.43</v>
      </c>
      <c r="G4" s="1">
        <v>1091</v>
      </c>
      <c r="H4" s="1">
        <v>1591.59</v>
      </c>
      <c r="I4" s="31">
        <v>518.54999999999995</v>
      </c>
      <c r="J4" s="84"/>
      <c r="K4" s="84"/>
    </row>
    <row r="5" spans="1:11" x14ac:dyDescent="0.3">
      <c r="A5" s="29" t="s">
        <v>40</v>
      </c>
      <c r="B5" s="31">
        <v>2295.48</v>
      </c>
      <c r="C5" s="31">
        <v>2224.9</v>
      </c>
      <c r="D5" s="31">
        <v>1226.69</v>
      </c>
      <c r="E5" s="58">
        <v>4006.57</v>
      </c>
      <c r="F5" s="55">
        <v>3697.53</v>
      </c>
      <c r="G5" s="31">
        <v>1915</v>
      </c>
      <c r="H5" s="1">
        <v>0</v>
      </c>
      <c r="I5" s="84"/>
      <c r="J5" s="84"/>
      <c r="K5" s="84"/>
    </row>
    <row r="6" spans="1:11" x14ac:dyDescent="0.3">
      <c r="A6" s="29" t="s">
        <v>31</v>
      </c>
      <c r="B6" s="31">
        <v>594.39</v>
      </c>
      <c r="C6" s="31">
        <v>539.87</v>
      </c>
      <c r="D6" s="31">
        <v>847.78</v>
      </c>
      <c r="E6" s="58">
        <v>865.17</v>
      </c>
      <c r="F6" s="55">
        <v>670.18</v>
      </c>
      <c r="G6" s="31">
        <v>647</v>
      </c>
      <c r="H6" s="31">
        <v>0</v>
      </c>
      <c r="I6" s="84"/>
      <c r="J6" s="84"/>
      <c r="K6" s="84"/>
    </row>
    <row r="7" spans="1:11" x14ac:dyDescent="0.3">
      <c r="A7" s="29" t="s">
        <v>60</v>
      </c>
      <c r="B7" s="31">
        <v>0</v>
      </c>
      <c r="C7" s="31">
        <v>0</v>
      </c>
      <c r="D7" s="31">
        <v>0</v>
      </c>
      <c r="E7" s="60">
        <v>442.56</v>
      </c>
      <c r="F7" s="60">
        <v>0</v>
      </c>
      <c r="G7" s="1">
        <v>0</v>
      </c>
      <c r="H7" s="1">
        <v>564.78</v>
      </c>
      <c r="I7" s="84"/>
      <c r="J7" s="84"/>
      <c r="K7" s="84"/>
    </row>
    <row r="8" spans="1:11" x14ac:dyDescent="0.3">
      <c r="A8" s="29" t="s">
        <v>34</v>
      </c>
      <c r="B8" s="30">
        <v>2455.85</v>
      </c>
      <c r="C8" s="31">
        <v>1952.18</v>
      </c>
      <c r="D8" s="31">
        <v>1677.71</v>
      </c>
      <c r="E8" s="55">
        <v>946.15</v>
      </c>
      <c r="F8" s="55">
        <v>0</v>
      </c>
      <c r="G8" s="1">
        <v>1264</v>
      </c>
      <c r="H8" s="1">
        <v>1373.84</v>
      </c>
    </row>
    <row r="9" spans="1:11" x14ac:dyDescent="0.3">
      <c r="A9" s="29" t="s">
        <v>25</v>
      </c>
      <c r="B9" s="31">
        <v>0</v>
      </c>
      <c r="C9" s="31">
        <v>536.75</v>
      </c>
      <c r="D9" s="31">
        <v>2780.55</v>
      </c>
      <c r="E9" s="46">
        <v>1555.16</v>
      </c>
      <c r="F9" s="46">
        <v>0</v>
      </c>
      <c r="G9" s="31">
        <v>1986</v>
      </c>
      <c r="H9" s="1">
        <v>0</v>
      </c>
    </row>
    <row r="10" spans="1:11" x14ac:dyDescent="0.3">
      <c r="A10" s="29" t="s">
        <v>30</v>
      </c>
      <c r="B10" s="31">
        <v>143.81</v>
      </c>
      <c r="C10" s="31">
        <v>0</v>
      </c>
      <c r="D10" s="31">
        <v>205.09</v>
      </c>
      <c r="E10" s="31">
        <v>158.16999999999999</v>
      </c>
      <c r="F10" s="31">
        <v>0</v>
      </c>
      <c r="G10" s="1">
        <v>0</v>
      </c>
      <c r="H10" s="1">
        <v>0</v>
      </c>
    </row>
    <row r="11" spans="1:11" x14ac:dyDescent="0.3">
      <c r="A11" s="29" t="s">
        <v>45</v>
      </c>
      <c r="B11" s="31">
        <v>0</v>
      </c>
      <c r="C11">
        <v>801.18</v>
      </c>
      <c r="D11" s="31">
        <v>0</v>
      </c>
      <c r="E11" s="31">
        <v>0</v>
      </c>
      <c r="F11" s="31">
        <v>0</v>
      </c>
      <c r="G11" s="1">
        <v>0</v>
      </c>
      <c r="H11" s="1">
        <v>349.35</v>
      </c>
    </row>
    <row r="12" spans="1:11" x14ac:dyDescent="0.3">
      <c r="A12" s="29" t="s">
        <v>39</v>
      </c>
      <c r="B12" s="31">
        <v>562</v>
      </c>
      <c r="C12" s="31">
        <v>188.03</v>
      </c>
      <c r="D12" s="31">
        <v>791.28</v>
      </c>
      <c r="E12" s="31">
        <v>0</v>
      </c>
      <c r="F12" s="31">
        <v>0</v>
      </c>
      <c r="G12" s="1">
        <v>0</v>
      </c>
      <c r="H12" s="1">
        <v>0</v>
      </c>
    </row>
    <row r="13" spans="1:11" x14ac:dyDescent="0.3">
      <c r="A13" s="29" t="s">
        <v>43</v>
      </c>
      <c r="B13" s="31">
        <v>2734.03</v>
      </c>
      <c r="C13" s="31">
        <v>1254.5999999999999</v>
      </c>
      <c r="D13" s="31">
        <v>0</v>
      </c>
      <c r="E13" s="31">
        <v>0</v>
      </c>
      <c r="F13" s="31">
        <v>0</v>
      </c>
      <c r="G13" s="1">
        <v>0</v>
      </c>
      <c r="H13" s="1">
        <v>0</v>
      </c>
    </row>
    <row r="14" spans="1:11" x14ac:dyDescent="0.3">
      <c r="A14" s="29" t="s">
        <v>46</v>
      </c>
      <c r="B14" s="31">
        <v>155.83000000000001</v>
      </c>
      <c r="C14" s="31">
        <v>856.24</v>
      </c>
      <c r="D14" s="31">
        <v>0</v>
      </c>
      <c r="E14" s="31">
        <v>1921.12</v>
      </c>
      <c r="F14" s="31">
        <v>0</v>
      </c>
      <c r="G14" s="1">
        <v>0</v>
      </c>
      <c r="H14" s="1">
        <v>0</v>
      </c>
    </row>
    <row r="15" spans="1:11" x14ac:dyDescent="0.3">
      <c r="A15" s="29" t="s">
        <v>33</v>
      </c>
      <c r="B15" s="31">
        <v>0</v>
      </c>
      <c r="C15" s="31">
        <v>0</v>
      </c>
      <c r="D15" s="31">
        <v>195.59</v>
      </c>
      <c r="E15" s="31">
        <v>0</v>
      </c>
      <c r="F15" s="31">
        <v>1671.21</v>
      </c>
      <c r="G15" s="1"/>
      <c r="H15" s="1">
        <v>0</v>
      </c>
    </row>
    <row r="16" spans="1:11" x14ac:dyDescent="0.3">
      <c r="A16" s="29" t="s">
        <v>26</v>
      </c>
      <c r="B16" s="1">
        <v>1118.94</v>
      </c>
      <c r="C16" s="1">
        <v>2305.94</v>
      </c>
      <c r="D16" s="30">
        <v>1179.3499999999999</v>
      </c>
      <c r="E16" s="5">
        <v>536.33000000000004</v>
      </c>
      <c r="F16" s="5">
        <v>0</v>
      </c>
      <c r="G16" s="1">
        <v>505</v>
      </c>
      <c r="H16" s="1">
        <v>289.72000000000003</v>
      </c>
    </row>
    <row r="17" spans="1:11" x14ac:dyDescent="0.3">
      <c r="A17" s="29" t="s">
        <v>59</v>
      </c>
      <c r="B17" s="1">
        <v>0</v>
      </c>
      <c r="C17" s="1">
        <v>0</v>
      </c>
      <c r="D17" s="56">
        <v>0</v>
      </c>
      <c r="E17" s="57">
        <v>396.52</v>
      </c>
      <c r="F17" s="57">
        <v>259.63</v>
      </c>
      <c r="G17" s="1">
        <v>0</v>
      </c>
      <c r="H17" s="1">
        <v>0</v>
      </c>
    </row>
    <row r="18" spans="1:11" x14ac:dyDescent="0.3">
      <c r="A18" s="49" t="s">
        <v>20</v>
      </c>
      <c r="B18" s="1">
        <v>33839.74</v>
      </c>
      <c r="C18" s="1">
        <v>34183.230000000003</v>
      </c>
      <c r="D18" s="1">
        <v>37023.620000000003</v>
      </c>
      <c r="E18" s="55">
        <v>26890.68</v>
      </c>
      <c r="F18" s="55">
        <v>39655.15</v>
      </c>
      <c r="G18" s="62">
        <v>20834</v>
      </c>
      <c r="H18" s="1">
        <v>20837.78</v>
      </c>
    </row>
    <row r="19" spans="1:11" x14ac:dyDescent="0.3">
      <c r="A19" s="29" t="s">
        <v>19</v>
      </c>
      <c r="B19" s="1">
        <v>2658.37</v>
      </c>
      <c r="C19" s="1">
        <v>4943.96</v>
      </c>
      <c r="D19" s="56">
        <v>2633.78</v>
      </c>
      <c r="E19" s="57">
        <v>3939.92</v>
      </c>
      <c r="F19" s="55">
        <v>6141.83</v>
      </c>
      <c r="G19" s="62">
        <v>4937</v>
      </c>
      <c r="H19" s="1">
        <v>1374.42</v>
      </c>
    </row>
    <row r="20" spans="1:11" x14ac:dyDescent="0.3">
      <c r="A20" s="50" t="s">
        <v>35</v>
      </c>
      <c r="B20" s="1">
        <v>8538.9</v>
      </c>
      <c r="C20" s="1">
        <v>12458.25</v>
      </c>
      <c r="D20" s="56">
        <v>6536.68</v>
      </c>
      <c r="E20" s="57">
        <v>5090.34</v>
      </c>
      <c r="F20" s="55">
        <v>10425</v>
      </c>
      <c r="G20" s="62">
        <v>8307</v>
      </c>
      <c r="H20" s="1">
        <v>3070.1</v>
      </c>
    </row>
    <row r="21" spans="1:11" x14ac:dyDescent="0.3">
      <c r="A21" s="29" t="s">
        <v>36</v>
      </c>
      <c r="B21" s="1">
        <v>848.99</v>
      </c>
      <c r="C21" s="1">
        <v>652.72</v>
      </c>
      <c r="D21" s="56">
        <v>1859.07</v>
      </c>
      <c r="E21" s="57">
        <v>1869.85</v>
      </c>
      <c r="F21" s="55">
        <v>2024.62</v>
      </c>
      <c r="G21" s="62">
        <v>932</v>
      </c>
      <c r="H21" s="1">
        <v>1866.15</v>
      </c>
    </row>
    <row r="22" spans="1:11" x14ac:dyDescent="0.3">
      <c r="A22" s="50" t="s">
        <v>16</v>
      </c>
      <c r="B22" s="1">
        <v>3735.45</v>
      </c>
      <c r="C22" s="1">
        <v>6061.96</v>
      </c>
      <c r="D22" s="56">
        <v>3168.58</v>
      </c>
      <c r="E22" s="57">
        <v>4059.06</v>
      </c>
      <c r="F22" s="55">
        <v>2224.75</v>
      </c>
      <c r="G22" s="62">
        <v>234</v>
      </c>
      <c r="H22" s="1">
        <v>1300.97</v>
      </c>
    </row>
    <row r="23" spans="1:11" x14ac:dyDescent="0.3">
      <c r="A23" s="29" t="s">
        <v>15</v>
      </c>
      <c r="B23" s="31">
        <v>0</v>
      </c>
      <c r="C23" s="31">
        <v>823.35</v>
      </c>
      <c r="D23" s="31">
        <v>835.34</v>
      </c>
      <c r="E23" s="31">
        <v>0</v>
      </c>
      <c r="F23" s="31">
        <v>607.01</v>
      </c>
      <c r="G23" s="6">
        <f t="shared" ref="G23:G29" si="0">AVERAGE(B23:F23)</f>
        <v>453.14</v>
      </c>
      <c r="H23" s="1">
        <v>0</v>
      </c>
    </row>
    <row r="24" spans="1:11" x14ac:dyDescent="0.3">
      <c r="A24" s="29" t="s">
        <v>38</v>
      </c>
      <c r="B24" s="31">
        <v>1060.6300000000001</v>
      </c>
      <c r="C24" s="31">
        <v>1321.73</v>
      </c>
      <c r="D24" s="31">
        <v>627.57000000000005</v>
      </c>
      <c r="E24" s="55">
        <v>289.13</v>
      </c>
      <c r="F24" s="55">
        <v>1743.89</v>
      </c>
      <c r="G24" s="6">
        <f t="shared" si="0"/>
        <v>1008.5900000000001</v>
      </c>
      <c r="H24" s="1">
        <v>385.74</v>
      </c>
    </row>
    <row r="25" spans="1:11" x14ac:dyDescent="0.3">
      <c r="A25" s="29" t="s">
        <v>47</v>
      </c>
      <c r="B25" s="31">
        <v>3290.86</v>
      </c>
      <c r="C25" s="31">
        <v>2255.34</v>
      </c>
      <c r="D25" s="31">
        <v>0</v>
      </c>
      <c r="E25" s="55">
        <v>207.99</v>
      </c>
      <c r="F25" s="55">
        <v>625.80999999999995</v>
      </c>
      <c r="G25" s="6">
        <f t="shared" si="0"/>
        <v>1276</v>
      </c>
      <c r="H25" s="1">
        <v>0</v>
      </c>
    </row>
    <row r="26" spans="1:11" x14ac:dyDescent="0.3">
      <c r="A26" s="29" t="s">
        <v>28</v>
      </c>
      <c r="B26" s="31">
        <v>1979.64</v>
      </c>
      <c r="C26" s="31">
        <v>3019.53</v>
      </c>
      <c r="D26" s="31">
        <v>2846</v>
      </c>
      <c r="E26" s="55">
        <v>2200</v>
      </c>
      <c r="F26" s="62">
        <v>0</v>
      </c>
      <c r="G26" s="6">
        <f t="shared" si="0"/>
        <v>2009.0340000000001</v>
      </c>
      <c r="H26" s="1">
        <v>0</v>
      </c>
    </row>
    <row r="27" spans="1:11" x14ac:dyDescent="0.3">
      <c r="A27" s="29" t="s">
        <v>48</v>
      </c>
      <c r="B27" s="31">
        <v>0</v>
      </c>
      <c r="C27" s="31">
        <v>1210</v>
      </c>
      <c r="D27" s="31">
        <v>0</v>
      </c>
      <c r="E27" s="55">
        <v>1125.8399999999999</v>
      </c>
      <c r="F27" s="62">
        <v>0</v>
      </c>
      <c r="G27" s="6">
        <f t="shared" si="0"/>
        <v>467.16800000000001</v>
      </c>
      <c r="H27" s="1">
        <v>0</v>
      </c>
    </row>
    <row r="28" spans="1:11" x14ac:dyDescent="0.3">
      <c r="A28" s="29" t="s">
        <v>32</v>
      </c>
      <c r="B28" s="31">
        <v>900.52</v>
      </c>
      <c r="C28" s="31">
        <v>1910.19</v>
      </c>
      <c r="D28" s="31">
        <v>1741.05</v>
      </c>
      <c r="E28" s="31">
        <v>1425.74</v>
      </c>
      <c r="F28" s="31">
        <v>2228.86</v>
      </c>
      <c r="G28" s="6">
        <f t="shared" si="0"/>
        <v>1641.2720000000002</v>
      </c>
      <c r="H28" s="1">
        <v>2048.5300000000002</v>
      </c>
    </row>
    <row r="29" spans="1:11" x14ac:dyDescent="0.3">
      <c r="A29" s="50" t="s">
        <v>17</v>
      </c>
      <c r="B29" s="31">
        <v>3576.41</v>
      </c>
      <c r="C29" s="31">
        <v>7371.77</v>
      </c>
      <c r="D29" s="31">
        <v>4423.7299999999996</v>
      </c>
      <c r="E29" s="55">
        <v>7184.59</v>
      </c>
      <c r="F29" s="62">
        <v>4359.45</v>
      </c>
      <c r="G29" s="6">
        <f t="shared" si="0"/>
        <v>5383.1900000000005</v>
      </c>
      <c r="H29" s="1">
        <v>0</v>
      </c>
    </row>
    <row r="30" spans="1:11" x14ac:dyDescent="0.3">
      <c r="B30" s="6">
        <f t="shared" ref="B30:G30" si="1">SUM(B2:B29)</f>
        <v>72110.89</v>
      </c>
      <c r="C30" s="63">
        <f t="shared" si="1"/>
        <v>91905.720000000016</v>
      </c>
      <c r="D30" s="6">
        <f t="shared" si="1"/>
        <v>74077.459999999992</v>
      </c>
      <c r="E30" s="6">
        <f t="shared" si="1"/>
        <v>67363.219999999987</v>
      </c>
      <c r="F30" s="63">
        <f t="shared" si="1"/>
        <v>77488.349999999991</v>
      </c>
      <c r="G30" s="6">
        <f t="shared" si="1"/>
        <v>54890.393999999993</v>
      </c>
      <c r="H30" s="1">
        <f>SUM(H2:H29)</f>
        <v>36017.93</v>
      </c>
    </row>
    <row r="31" spans="1:11" x14ac:dyDescent="0.3">
      <c r="H31" s="1">
        <v>508.24</v>
      </c>
      <c r="I31" t="s">
        <v>21</v>
      </c>
      <c r="K31" t="s">
        <v>96</v>
      </c>
    </row>
    <row r="32" spans="1:11" x14ac:dyDescent="0.3">
      <c r="H32" s="1">
        <v>1582.72</v>
      </c>
      <c r="I32" t="s">
        <v>0</v>
      </c>
      <c r="K32" t="s">
        <v>95</v>
      </c>
    </row>
    <row r="33" spans="1:11" x14ac:dyDescent="0.3">
      <c r="H33" s="1">
        <v>369.98</v>
      </c>
      <c r="I33" t="s">
        <v>77</v>
      </c>
      <c r="K33" t="s">
        <v>95</v>
      </c>
    </row>
    <row r="34" spans="1:11" x14ac:dyDescent="0.3">
      <c r="H34" s="1">
        <v>85</v>
      </c>
      <c r="I34" t="s">
        <v>2</v>
      </c>
      <c r="K34" t="s">
        <v>95</v>
      </c>
    </row>
    <row r="35" spans="1:11" x14ac:dyDescent="0.3">
      <c r="H35" s="6">
        <f>SUM(H30:H34)</f>
        <v>38563.870000000003</v>
      </c>
    </row>
    <row r="37" spans="1:11" x14ac:dyDescent="0.3">
      <c r="A37" s="49" t="s">
        <v>20</v>
      </c>
      <c r="B37" s="1">
        <v>33839.74</v>
      </c>
      <c r="C37" s="1">
        <v>34183.230000000003</v>
      </c>
      <c r="D37" s="1">
        <v>37023.620000000003</v>
      </c>
      <c r="E37" s="55">
        <v>26890.68</v>
      </c>
      <c r="F37" s="55">
        <v>39655.15</v>
      </c>
      <c r="G37" s="62">
        <v>20834</v>
      </c>
      <c r="H37" s="1">
        <v>20837.78</v>
      </c>
    </row>
    <row r="38" spans="1:11" x14ac:dyDescent="0.3">
      <c r="A38" s="50" t="s">
        <v>35</v>
      </c>
      <c r="B38" s="1">
        <v>8538.9</v>
      </c>
      <c r="C38" s="1">
        <v>12458.25</v>
      </c>
      <c r="D38" s="56">
        <v>6536.68</v>
      </c>
      <c r="E38" s="57">
        <v>5090.34</v>
      </c>
      <c r="F38" s="55">
        <v>10425</v>
      </c>
      <c r="G38" s="62">
        <v>8307</v>
      </c>
      <c r="H38" s="1">
        <v>3070.1</v>
      </c>
    </row>
    <row r="46" spans="1:11" x14ac:dyDescent="0.3">
      <c r="A46" s="29" t="s">
        <v>47</v>
      </c>
      <c r="B46" s="31">
        <v>3290.86</v>
      </c>
      <c r="C46" s="31">
        <v>2255.34</v>
      </c>
      <c r="D46" s="31">
        <v>0</v>
      </c>
      <c r="E46" s="55">
        <v>207.99</v>
      </c>
      <c r="F46" s="55">
        <v>625.80999999999995</v>
      </c>
      <c r="G46" s="6">
        <f t="shared" ref="G46:G48" si="2">AVERAGE(B46:F46)</f>
        <v>1276</v>
      </c>
      <c r="H46" s="1">
        <v>0</v>
      </c>
    </row>
    <row r="47" spans="1:11" x14ac:dyDescent="0.3">
      <c r="A47" s="29" t="s">
        <v>28</v>
      </c>
      <c r="B47" s="31">
        <v>1979.64</v>
      </c>
      <c r="C47" s="31">
        <v>3019.53</v>
      </c>
      <c r="D47" s="31">
        <v>2846</v>
      </c>
      <c r="E47" s="55">
        <v>2200</v>
      </c>
      <c r="F47" s="62">
        <v>0</v>
      </c>
      <c r="G47" s="6">
        <f t="shared" si="2"/>
        <v>2009.0340000000001</v>
      </c>
      <c r="H47" s="1">
        <v>0</v>
      </c>
    </row>
    <row r="48" spans="1:11" x14ac:dyDescent="0.3">
      <c r="A48" s="29" t="s">
        <v>48</v>
      </c>
      <c r="B48" s="31">
        <v>0</v>
      </c>
      <c r="C48" s="31">
        <v>1210</v>
      </c>
      <c r="D48" s="31">
        <v>0</v>
      </c>
      <c r="E48" s="55">
        <v>1125.8399999999999</v>
      </c>
      <c r="F48" s="62">
        <v>0</v>
      </c>
      <c r="G48" s="6">
        <f t="shared" si="2"/>
        <v>467.16800000000001</v>
      </c>
      <c r="H48" s="1">
        <v>0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98631-7AE7-4DF6-BE87-12AE55A237B7}">
  <dimension ref="A1:K36"/>
  <sheetViews>
    <sheetView tabSelected="1" topLeftCell="A22" workbookViewId="0">
      <selection activeCell="A37" sqref="A37"/>
    </sheetView>
  </sheetViews>
  <sheetFormatPr defaultRowHeight="14.4" x14ac:dyDescent="0.3"/>
  <cols>
    <col min="1" max="1" width="23" customWidth="1"/>
    <col min="2" max="2" width="14" customWidth="1"/>
    <col min="3" max="3" width="16.6640625" customWidth="1"/>
    <col min="4" max="4" width="16.77734375" customWidth="1"/>
    <col min="5" max="5" width="15" customWidth="1"/>
    <col min="6" max="6" width="13.6640625" customWidth="1"/>
    <col min="7" max="7" width="15.88671875" customWidth="1"/>
    <col min="8" max="8" width="17.77734375" customWidth="1"/>
    <col min="9" max="9" width="12.88671875" bestFit="1" customWidth="1"/>
  </cols>
  <sheetData>
    <row r="1" spans="1:11" ht="15" thickBot="1" x14ac:dyDescent="0.35"/>
    <row r="2" spans="1:11" ht="15" thickBot="1" x14ac:dyDescent="0.35">
      <c r="A2" s="2" t="s">
        <v>1</v>
      </c>
      <c r="B2" s="3" t="s">
        <v>49</v>
      </c>
      <c r="C2" s="4" t="s">
        <v>42</v>
      </c>
      <c r="D2" s="4" t="s">
        <v>41</v>
      </c>
      <c r="E2" s="45" t="s">
        <v>58</v>
      </c>
      <c r="F2" s="45" t="s">
        <v>64</v>
      </c>
      <c r="G2" s="45" t="s">
        <v>66</v>
      </c>
      <c r="H2" s="45" t="s">
        <v>73</v>
      </c>
      <c r="I2" s="86" t="s">
        <v>80</v>
      </c>
    </row>
    <row r="3" spans="1:11" x14ac:dyDescent="0.3">
      <c r="A3" s="29" t="s">
        <v>12</v>
      </c>
      <c r="B3" s="31">
        <v>0</v>
      </c>
      <c r="C3" s="31">
        <v>0</v>
      </c>
      <c r="D3" s="31">
        <v>3478</v>
      </c>
      <c r="E3" s="31">
        <v>0</v>
      </c>
      <c r="F3" s="31">
        <v>0</v>
      </c>
      <c r="G3" s="31">
        <v>0</v>
      </c>
      <c r="H3" s="1">
        <v>408.81</v>
      </c>
      <c r="I3" s="93">
        <v>1986</v>
      </c>
      <c r="J3" s="84"/>
      <c r="K3" s="84"/>
    </row>
    <row r="4" spans="1:11" x14ac:dyDescent="0.3">
      <c r="A4" s="29" t="s">
        <v>75</v>
      </c>
      <c r="B4" s="31"/>
      <c r="C4" s="31"/>
      <c r="D4" s="31"/>
      <c r="E4" s="31"/>
      <c r="F4" s="31"/>
      <c r="G4" s="31"/>
      <c r="H4" s="1">
        <v>556.15</v>
      </c>
      <c r="I4" s="84" t="s">
        <v>74</v>
      </c>
      <c r="J4" s="84"/>
      <c r="K4" s="84"/>
    </row>
    <row r="5" spans="1:11" x14ac:dyDescent="0.3">
      <c r="A5" s="29" t="s">
        <v>44</v>
      </c>
      <c r="B5" s="31">
        <v>1621.05</v>
      </c>
      <c r="C5" s="30">
        <v>5034</v>
      </c>
      <c r="D5" s="31">
        <v>0</v>
      </c>
      <c r="E5" s="55">
        <v>2252.33</v>
      </c>
      <c r="F5" s="55">
        <v>1153.43</v>
      </c>
      <c r="G5" s="1">
        <v>1091</v>
      </c>
      <c r="H5" s="1">
        <v>1591.59</v>
      </c>
      <c r="I5" s="31">
        <v>518.54999999999995</v>
      </c>
      <c r="J5" s="84"/>
      <c r="K5" s="84"/>
    </row>
    <row r="6" spans="1:11" x14ac:dyDescent="0.3">
      <c r="A6" s="29" t="s">
        <v>40</v>
      </c>
      <c r="B6" s="31">
        <v>2295.48</v>
      </c>
      <c r="C6" s="31">
        <v>2224.9</v>
      </c>
      <c r="D6" s="31">
        <v>1226.69</v>
      </c>
      <c r="E6" s="58">
        <v>4006.57</v>
      </c>
      <c r="F6" s="55">
        <v>3697.53</v>
      </c>
      <c r="G6" s="31">
        <v>1915</v>
      </c>
      <c r="H6" s="1">
        <v>0</v>
      </c>
      <c r="I6" s="31">
        <v>1167</v>
      </c>
      <c r="J6" s="84"/>
      <c r="K6" s="84"/>
    </row>
    <row r="7" spans="1:11" x14ac:dyDescent="0.3">
      <c r="A7" s="29" t="s">
        <v>31</v>
      </c>
      <c r="B7" s="31">
        <v>594.39</v>
      </c>
      <c r="C7" s="31">
        <v>539.87</v>
      </c>
      <c r="D7" s="31">
        <v>847.78</v>
      </c>
      <c r="E7" s="58">
        <v>865.17</v>
      </c>
      <c r="F7" s="55">
        <v>670.18</v>
      </c>
      <c r="G7" s="31">
        <v>647</v>
      </c>
      <c r="H7" s="31">
        <v>0</v>
      </c>
      <c r="I7" s="27">
        <v>394.7</v>
      </c>
      <c r="J7" s="84"/>
      <c r="K7" s="84"/>
    </row>
    <row r="8" spans="1:11" x14ac:dyDescent="0.3">
      <c r="A8" s="29" t="s">
        <v>34</v>
      </c>
      <c r="B8" s="30">
        <v>2455.85</v>
      </c>
      <c r="C8" s="31">
        <v>1952.18</v>
      </c>
      <c r="D8" s="31">
        <v>1677.71</v>
      </c>
      <c r="E8" s="55">
        <v>946.15</v>
      </c>
      <c r="F8" s="55">
        <v>0</v>
      </c>
      <c r="G8" s="1">
        <v>1264</v>
      </c>
      <c r="H8" s="1">
        <v>1373.84</v>
      </c>
      <c r="I8" s="27">
        <v>2598</v>
      </c>
      <c r="J8" s="84"/>
      <c r="K8" s="84"/>
    </row>
    <row r="9" spans="1:11" x14ac:dyDescent="0.3">
      <c r="A9" s="29" t="s">
        <v>45</v>
      </c>
      <c r="B9" s="31">
        <v>0</v>
      </c>
      <c r="C9">
        <v>801.18</v>
      </c>
      <c r="D9" s="31">
        <v>0</v>
      </c>
      <c r="E9" s="31">
        <v>0</v>
      </c>
      <c r="F9" s="31">
        <v>0</v>
      </c>
      <c r="G9" s="1">
        <v>0</v>
      </c>
      <c r="H9" s="1">
        <v>349.35</v>
      </c>
      <c r="I9" s="31">
        <v>541</v>
      </c>
      <c r="J9" s="84"/>
      <c r="K9" s="84"/>
    </row>
    <row r="10" spans="1:11" x14ac:dyDescent="0.3">
      <c r="A10" s="29" t="s">
        <v>39</v>
      </c>
      <c r="B10" s="31">
        <v>562</v>
      </c>
      <c r="C10" s="31">
        <v>188.03</v>
      </c>
      <c r="D10" s="31">
        <v>791.28</v>
      </c>
      <c r="E10" s="31">
        <v>0</v>
      </c>
      <c r="F10" s="31">
        <v>0</v>
      </c>
      <c r="G10" s="1">
        <v>0</v>
      </c>
      <c r="H10" s="1">
        <v>0</v>
      </c>
      <c r="I10" s="31">
        <v>496</v>
      </c>
      <c r="J10" s="84"/>
      <c r="K10" s="84"/>
    </row>
    <row r="11" spans="1:11" x14ac:dyDescent="0.3">
      <c r="A11" s="29" t="s">
        <v>43</v>
      </c>
      <c r="B11" s="31">
        <v>2734.03</v>
      </c>
      <c r="C11" s="31">
        <v>1254.5999999999999</v>
      </c>
      <c r="D11" s="31">
        <v>0</v>
      </c>
      <c r="E11" s="31">
        <v>0</v>
      </c>
      <c r="F11" s="31">
        <v>0</v>
      </c>
      <c r="G11" s="1">
        <v>0</v>
      </c>
      <c r="H11" s="1">
        <v>0</v>
      </c>
      <c r="I11" s="31">
        <v>783</v>
      </c>
      <c r="J11" s="84"/>
      <c r="K11" s="84"/>
    </row>
    <row r="12" spans="1:11" x14ac:dyDescent="0.3">
      <c r="A12" s="87" t="s">
        <v>46</v>
      </c>
      <c r="B12" s="31">
        <v>155.83000000000001</v>
      </c>
      <c r="C12" s="31">
        <v>856.24</v>
      </c>
      <c r="D12" s="31">
        <v>0</v>
      </c>
      <c r="E12" s="31">
        <v>1921.12</v>
      </c>
      <c r="F12" s="31">
        <v>0</v>
      </c>
      <c r="G12" s="1">
        <v>0</v>
      </c>
      <c r="H12" s="1">
        <v>0</v>
      </c>
      <c r="I12" s="84" t="s">
        <v>74</v>
      </c>
    </row>
    <row r="13" spans="1:11" x14ac:dyDescent="0.3">
      <c r="A13" s="29" t="s">
        <v>19</v>
      </c>
      <c r="B13" s="1">
        <v>2658.37</v>
      </c>
      <c r="C13" s="1">
        <v>4943.96</v>
      </c>
      <c r="D13" s="56">
        <v>2633.78</v>
      </c>
      <c r="E13" s="57">
        <v>3939.92</v>
      </c>
      <c r="F13" s="55">
        <v>6141.83</v>
      </c>
      <c r="G13" s="62">
        <v>4937</v>
      </c>
      <c r="H13" s="1">
        <v>1374.42</v>
      </c>
      <c r="I13" s="93">
        <v>7188</v>
      </c>
      <c r="J13" s="84"/>
      <c r="K13" s="84"/>
    </row>
    <row r="14" spans="1:11" x14ac:dyDescent="0.3">
      <c r="A14" s="29" t="s">
        <v>36</v>
      </c>
      <c r="B14" s="1">
        <v>848.99</v>
      </c>
      <c r="C14" s="1">
        <v>652.72</v>
      </c>
      <c r="D14" s="56">
        <v>1859.07</v>
      </c>
      <c r="E14" s="57">
        <v>1869.85</v>
      </c>
      <c r="F14" s="55">
        <v>2024.62</v>
      </c>
      <c r="G14" s="62">
        <v>932</v>
      </c>
      <c r="H14" s="1">
        <v>1866.15</v>
      </c>
      <c r="I14" s="93">
        <v>3623</v>
      </c>
      <c r="J14" s="84"/>
      <c r="K14" s="84"/>
    </row>
    <row r="15" spans="1:11" x14ac:dyDescent="0.3">
      <c r="A15" s="50" t="s">
        <v>16</v>
      </c>
      <c r="B15" s="1">
        <v>3735.45</v>
      </c>
      <c r="C15" s="1">
        <v>6061.96</v>
      </c>
      <c r="D15" s="56">
        <v>3168.58</v>
      </c>
      <c r="E15" s="57">
        <v>4059.06</v>
      </c>
      <c r="F15" s="55">
        <v>2224.75</v>
      </c>
      <c r="G15" s="62">
        <v>234</v>
      </c>
      <c r="H15" s="1">
        <v>1300.97</v>
      </c>
      <c r="I15" s="93">
        <v>2606</v>
      </c>
      <c r="J15" s="84"/>
      <c r="K15" s="84"/>
    </row>
    <row r="16" spans="1:11" x14ac:dyDescent="0.3">
      <c r="A16" s="29" t="s">
        <v>32</v>
      </c>
      <c r="B16" s="31">
        <v>900.52</v>
      </c>
      <c r="C16" s="31">
        <v>1910.19</v>
      </c>
      <c r="D16" s="31">
        <v>1741.05</v>
      </c>
      <c r="E16" s="31">
        <v>1425.74</v>
      </c>
      <c r="F16" s="31">
        <v>2228.86</v>
      </c>
      <c r="G16" s="6">
        <f t="shared" ref="G16:G17" si="0">AVERAGE(B16:F16)</f>
        <v>1641.2720000000002</v>
      </c>
      <c r="H16" s="1">
        <v>2048.5300000000002</v>
      </c>
      <c r="I16" s="31">
        <v>1539</v>
      </c>
      <c r="J16" s="84"/>
      <c r="K16" s="84"/>
    </row>
    <row r="17" spans="1:11" x14ac:dyDescent="0.3">
      <c r="A17" s="50" t="s">
        <v>17</v>
      </c>
      <c r="B17" s="31">
        <v>3576.41</v>
      </c>
      <c r="C17" s="31">
        <v>7371.77</v>
      </c>
      <c r="D17" s="31">
        <v>4423.7299999999996</v>
      </c>
      <c r="E17" s="55">
        <v>7184.59</v>
      </c>
      <c r="F17" s="62">
        <v>4359.45</v>
      </c>
      <c r="G17" s="6">
        <f t="shared" si="0"/>
        <v>5383.1900000000005</v>
      </c>
      <c r="H17" s="1">
        <v>0</v>
      </c>
      <c r="I17" s="31">
        <v>3873</v>
      </c>
      <c r="J17" s="84"/>
      <c r="K17" s="84"/>
    </row>
    <row r="18" spans="1:11" x14ac:dyDescent="0.3">
      <c r="A18" s="29" t="s">
        <v>88</v>
      </c>
      <c r="B18" s="6">
        <f t="shared" ref="B18:G18" si="1">SUM(B3:B17)</f>
        <v>22138.37</v>
      </c>
      <c r="C18" s="63">
        <f t="shared" si="1"/>
        <v>33791.599999999999</v>
      </c>
      <c r="D18" s="6">
        <f t="shared" si="1"/>
        <v>21847.67</v>
      </c>
      <c r="E18" s="6">
        <f t="shared" si="1"/>
        <v>28470.500000000004</v>
      </c>
      <c r="F18" s="63">
        <f t="shared" si="1"/>
        <v>22500.65</v>
      </c>
      <c r="G18" s="6">
        <f t="shared" si="1"/>
        <v>18044.462</v>
      </c>
      <c r="H18" s="1">
        <f>SUM(H3:H17)</f>
        <v>10869.810000000001</v>
      </c>
      <c r="I18" s="85">
        <f>SUM(I3:I17)</f>
        <v>27313.25</v>
      </c>
      <c r="J18" s="84"/>
      <c r="K18" s="84"/>
    </row>
    <row r="19" spans="1:11" x14ac:dyDescent="0.3">
      <c r="A19" s="29" t="s">
        <v>3</v>
      </c>
      <c r="H19" s="1"/>
      <c r="I19" s="31">
        <v>2231</v>
      </c>
      <c r="J19" s="84" t="s">
        <v>98</v>
      </c>
      <c r="K19" s="84"/>
    </row>
    <row r="20" spans="1:11" x14ac:dyDescent="0.3">
      <c r="A20" s="29" t="s">
        <v>22</v>
      </c>
      <c r="H20" s="1"/>
      <c r="I20" s="31">
        <v>1996</v>
      </c>
      <c r="J20" s="84" t="s">
        <v>99</v>
      </c>
      <c r="K20" s="84"/>
    </row>
    <row r="21" spans="1:11" x14ac:dyDescent="0.3">
      <c r="H21" s="1"/>
      <c r="I21">
        <v>361.84</v>
      </c>
      <c r="J21" t="s">
        <v>89</v>
      </c>
    </row>
    <row r="22" spans="1:11" x14ac:dyDescent="0.3">
      <c r="H22" s="1" t="s">
        <v>20</v>
      </c>
      <c r="I22" s="31">
        <v>16777</v>
      </c>
    </row>
    <row r="23" spans="1:11" x14ac:dyDescent="0.3">
      <c r="H23" s="6"/>
      <c r="I23" s="6">
        <f>SUM(I18:I22)</f>
        <v>48679.09</v>
      </c>
    </row>
    <row r="26" spans="1:11" x14ac:dyDescent="0.3">
      <c r="A26" s="89" t="s">
        <v>38</v>
      </c>
      <c r="B26" s="46">
        <v>1060.6300000000001</v>
      </c>
      <c r="C26" s="46">
        <v>1321.73</v>
      </c>
      <c r="D26" s="46">
        <v>627.57000000000005</v>
      </c>
      <c r="E26" s="46">
        <v>289.13</v>
      </c>
      <c r="F26" s="46">
        <v>1743.89</v>
      </c>
      <c r="G26" s="92">
        <f>AVERAGE(B26:F26)</f>
        <v>1008.5900000000001</v>
      </c>
      <c r="H26" s="5">
        <v>385.74</v>
      </c>
      <c r="I26" s="91" t="s">
        <v>72</v>
      </c>
      <c r="J26" s="84"/>
      <c r="K26" s="84"/>
    </row>
    <row r="27" spans="1:11" x14ac:dyDescent="0.3">
      <c r="A27" s="89" t="s">
        <v>47</v>
      </c>
      <c r="B27" s="46">
        <v>3290.86</v>
      </c>
      <c r="C27" s="46">
        <v>2255.34</v>
      </c>
      <c r="D27" s="46">
        <v>0</v>
      </c>
      <c r="E27" s="46">
        <v>207.99</v>
      </c>
      <c r="F27" s="46">
        <v>625.80999999999995</v>
      </c>
      <c r="G27" s="92">
        <f>AVERAGE(B27:F27)</f>
        <v>1276</v>
      </c>
      <c r="H27" s="5">
        <v>0</v>
      </c>
      <c r="I27" s="91" t="s">
        <v>63</v>
      </c>
      <c r="J27" s="84"/>
      <c r="K27" s="84"/>
    </row>
    <row r="28" spans="1:11" s="87" customFormat="1" x14ac:dyDescent="0.3">
      <c r="A28" s="87" t="s">
        <v>60</v>
      </c>
      <c r="B28" s="46">
        <v>0</v>
      </c>
      <c r="C28" s="46">
        <v>0</v>
      </c>
      <c r="D28" s="46">
        <v>0</v>
      </c>
      <c r="E28" s="92">
        <v>442.56</v>
      </c>
      <c r="F28" s="92">
        <v>0</v>
      </c>
      <c r="G28" s="5">
        <v>0</v>
      </c>
      <c r="H28" s="5">
        <v>564.78</v>
      </c>
      <c r="I28" s="91" t="s">
        <v>72</v>
      </c>
      <c r="J28" s="94"/>
      <c r="K28" s="94"/>
    </row>
    <row r="29" spans="1:11" x14ac:dyDescent="0.3">
      <c r="A29" s="87" t="s">
        <v>30</v>
      </c>
      <c r="B29" s="46">
        <v>143.81</v>
      </c>
      <c r="C29" s="46">
        <v>0</v>
      </c>
      <c r="D29" s="46">
        <v>205.09</v>
      </c>
      <c r="E29" s="46">
        <v>158.16999999999999</v>
      </c>
      <c r="F29" s="46">
        <v>0</v>
      </c>
      <c r="G29" s="5">
        <v>0</v>
      </c>
      <c r="H29" s="5">
        <v>0</v>
      </c>
      <c r="I29" s="91" t="s">
        <v>63</v>
      </c>
      <c r="J29" s="84"/>
      <c r="K29" s="84"/>
    </row>
    <row r="31" spans="1:11" x14ac:dyDescent="0.3">
      <c r="A31" s="87" t="s">
        <v>15</v>
      </c>
      <c r="B31" s="31">
        <v>0</v>
      </c>
      <c r="C31" s="31">
        <v>823.35</v>
      </c>
      <c r="D31" s="31">
        <v>835.34</v>
      </c>
      <c r="E31" s="31">
        <v>0</v>
      </c>
      <c r="F31" s="31">
        <v>607.01</v>
      </c>
      <c r="G31" s="6">
        <f>AVERAGE(B31:F31)</f>
        <v>453.14</v>
      </c>
      <c r="H31" s="1">
        <v>0</v>
      </c>
      <c r="I31" s="31" t="s">
        <v>74</v>
      </c>
      <c r="J31" s="84"/>
      <c r="K31" s="84"/>
    </row>
    <row r="32" spans="1:11" x14ac:dyDescent="0.3">
      <c r="A32" s="29" t="s">
        <v>28</v>
      </c>
      <c r="B32" s="31">
        <v>1979.64</v>
      </c>
      <c r="C32" s="31">
        <v>3019.53</v>
      </c>
      <c r="D32" s="31">
        <v>2846</v>
      </c>
      <c r="E32" s="55">
        <v>2200</v>
      </c>
      <c r="F32" s="62">
        <v>0</v>
      </c>
      <c r="G32" s="6">
        <f>AVERAGE(B32:F32)</f>
        <v>2009.0340000000001</v>
      </c>
      <c r="H32" s="1">
        <v>0</v>
      </c>
      <c r="I32" s="31" t="s">
        <v>74</v>
      </c>
      <c r="J32" s="84"/>
      <c r="K32" s="84"/>
    </row>
    <row r="33" spans="1:11" x14ac:dyDescent="0.3">
      <c r="A33" s="29" t="s">
        <v>48</v>
      </c>
      <c r="B33" s="31">
        <v>0</v>
      </c>
      <c r="C33" s="31">
        <v>1210</v>
      </c>
      <c r="D33" s="31">
        <v>0</v>
      </c>
      <c r="E33" s="55">
        <v>1125.8399999999999</v>
      </c>
      <c r="F33" s="62">
        <v>0</v>
      </c>
      <c r="G33" s="6">
        <f>AVERAGE(B33:F33)</f>
        <v>467.16800000000001</v>
      </c>
      <c r="H33" s="1">
        <v>0</v>
      </c>
      <c r="I33" s="31" t="s">
        <v>74</v>
      </c>
      <c r="J33" s="84"/>
      <c r="K33" s="84"/>
    </row>
    <row r="34" spans="1:11" x14ac:dyDescent="0.3">
      <c r="A34" s="87" t="s">
        <v>26</v>
      </c>
      <c r="B34" s="1">
        <v>1118.94</v>
      </c>
      <c r="C34" s="1">
        <v>2305.94</v>
      </c>
      <c r="D34" s="30">
        <v>1179.3499999999999</v>
      </c>
      <c r="E34" s="5">
        <v>536.33000000000004</v>
      </c>
      <c r="F34" s="5">
        <v>0</v>
      </c>
      <c r="G34" s="1">
        <v>505</v>
      </c>
      <c r="H34" s="1">
        <v>289.72000000000003</v>
      </c>
      <c r="I34" s="84" t="s">
        <v>74</v>
      </c>
      <c r="J34" s="84"/>
      <c r="K34" s="84"/>
    </row>
    <row r="35" spans="1:11" x14ac:dyDescent="0.3">
      <c r="A35" s="87" t="s">
        <v>59</v>
      </c>
      <c r="B35" s="1">
        <v>0</v>
      </c>
      <c r="C35" s="1">
        <v>0</v>
      </c>
      <c r="D35" s="56">
        <v>0</v>
      </c>
      <c r="E35" s="57">
        <v>396.52</v>
      </c>
      <c r="F35" s="57">
        <v>259.63</v>
      </c>
      <c r="G35" s="1">
        <v>0</v>
      </c>
      <c r="H35" s="1">
        <v>0</v>
      </c>
      <c r="I35" s="84" t="s">
        <v>74</v>
      </c>
      <c r="J35" s="84"/>
      <c r="K35" s="84"/>
    </row>
    <row r="36" spans="1:11" x14ac:dyDescent="0.3">
      <c r="A36" s="29" t="s">
        <v>25</v>
      </c>
      <c r="B36" s="31">
        <v>0</v>
      </c>
      <c r="C36" s="31">
        <v>536.75</v>
      </c>
      <c r="D36" s="31">
        <v>2780.55</v>
      </c>
      <c r="E36" s="46">
        <v>1555.16</v>
      </c>
      <c r="F36" s="46">
        <v>0</v>
      </c>
      <c r="G36" s="31">
        <v>1986</v>
      </c>
      <c r="H36" s="1">
        <v>0</v>
      </c>
      <c r="I36" s="84" t="s">
        <v>74</v>
      </c>
      <c r="J36" s="84"/>
      <c r="K36" s="84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RESUMO GLOBAL</vt:lpstr>
      <vt:lpstr>VALOR POR ADMINISTRADORA</vt:lpstr>
      <vt:lpstr>CARTEIRA FERNANDA</vt:lpstr>
      <vt:lpstr>MATEUS</vt:lpstr>
      <vt:lpstr>CARTEIRA GABRIEL</vt:lpstr>
      <vt:lpstr>CARTEIRA THALIA</vt:lpstr>
      <vt:lpstr>NOVA THALIA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 Fernandes</dc:creator>
  <cp:lastModifiedBy>Fabia Fernandes</cp:lastModifiedBy>
  <dcterms:created xsi:type="dcterms:W3CDTF">2025-08-31T15:50:00Z</dcterms:created>
  <dcterms:modified xsi:type="dcterms:W3CDTF">2026-02-09T14:33:51Z</dcterms:modified>
</cp:coreProperties>
</file>